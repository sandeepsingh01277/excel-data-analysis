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17bddbf6525868/Desktop/excel delta/practice/"/>
    </mc:Choice>
  </mc:AlternateContent>
  <xr:revisionPtr revIDLastSave="0" documentId="8_{4A500B7F-7B7D-4F81-A6EC-2CAB11D2AF26}" xr6:coauthVersionLast="47" xr6:coauthVersionMax="47" xr10:uidLastSave="{00000000-0000-0000-0000-000000000000}"/>
  <bookViews>
    <workbookView xWindow="-108" yWindow="-108" windowWidth="23256" windowHeight="12456" xr2:uid="{4C88B6B3-3280-4B76-B479-3D82138B2711}"/>
  </bookViews>
  <sheets>
    <sheet name="DB4_StockPortfolio" sheetId="1" r:id="rId1"/>
    <sheet name="Q4_StockPortfol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7" i="2"/>
  <c r="D18" i="2"/>
  <c r="D19" i="2"/>
  <c r="D20" i="2"/>
  <c r="D21" i="2"/>
  <c r="D22" i="2"/>
  <c r="D24" i="2"/>
  <c r="D26" i="2"/>
  <c r="D27" i="2"/>
  <c r="D28" i="2"/>
  <c r="D29" i="2"/>
  <c r="D30" i="2"/>
  <c r="D31" i="2"/>
  <c r="D32" i="2"/>
  <c r="D35" i="2"/>
  <c r="D37" i="2"/>
  <c r="D38" i="2"/>
  <c r="D40" i="2"/>
  <c r="D41" i="2"/>
  <c r="D42" i="2"/>
  <c r="D43" i="2"/>
  <c r="D45" i="2"/>
  <c r="D48" i="2"/>
  <c r="D49" i="2"/>
  <c r="D53" i="2"/>
  <c r="D54" i="2"/>
  <c r="D63" i="2"/>
  <c r="D71" i="2"/>
  <c r="D75" i="2"/>
  <c r="D78" i="2"/>
  <c r="D81" i="2" l="1"/>
  <c r="D84" i="2"/>
  <c r="D85" i="2"/>
  <c r="D16" i="2" l="1"/>
  <c r="D23" i="2"/>
</calcChain>
</file>

<file path=xl/sharedStrings.xml><?xml version="1.0" encoding="utf-8"?>
<sst xmlns="http://schemas.openxmlformats.org/spreadsheetml/2006/main" count="3015" uniqueCount="588">
  <si>
    <t>LTCG</t>
  </si>
  <si>
    <t>Long</t>
  </si>
  <si>
    <t>Finance</t>
  </si>
  <si>
    <t>BAJFINANCE</t>
  </si>
  <si>
    <t>ICICI Direct</t>
  </si>
  <si>
    <t>Zaid Ansari</t>
  </si>
  <si>
    <t>TRD20400</t>
  </si>
  <si>
    <t>Banking</t>
  </si>
  <si>
    <t>AXISBANK</t>
  </si>
  <si>
    <t>Upstox</t>
  </si>
  <si>
    <t>Yasmin Shaikh</t>
  </si>
  <si>
    <t>TRD20399</t>
  </si>
  <si>
    <t>IT</t>
  </si>
  <si>
    <t>WIPRO</t>
  </si>
  <si>
    <t>Angel One</t>
  </si>
  <si>
    <t>Xavier D'Souza</t>
  </si>
  <si>
    <t>TRD20398</t>
  </si>
  <si>
    <t>FMCG</t>
  </si>
  <si>
    <t>HINDUNILVR</t>
  </si>
  <si>
    <t>Groww</t>
  </si>
  <si>
    <t>Wini Joshi</t>
  </si>
  <si>
    <t>TRD20397</t>
  </si>
  <si>
    <t>ICICIBANK</t>
  </si>
  <si>
    <t>Zerodha</t>
  </si>
  <si>
    <t>Varun Gupta</t>
  </si>
  <si>
    <t>TRD20396</t>
  </si>
  <si>
    <t>STCG</t>
  </si>
  <si>
    <t>Metal</t>
  </si>
  <si>
    <t>TATASTEEL</t>
  </si>
  <si>
    <t>HDFC Securities</t>
  </si>
  <si>
    <t>Uma Pillai</t>
  </si>
  <si>
    <t>TRD20395</t>
  </si>
  <si>
    <t>SBIN</t>
  </si>
  <si>
    <t>Tarun Mehta</t>
  </si>
  <si>
    <t>TRD20394</t>
  </si>
  <si>
    <t>INFY</t>
  </si>
  <si>
    <t>Simran Kaur</t>
  </si>
  <si>
    <t>TRD20393</t>
  </si>
  <si>
    <t>HDFCBANK</t>
  </si>
  <si>
    <t>Raj Verma</t>
  </si>
  <si>
    <t>TRD20392</t>
  </si>
  <si>
    <t>TCS</t>
  </si>
  <si>
    <t>Qira Shah</t>
  </si>
  <si>
    <t>TRD20391</t>
  </si>
  <si>
    <t>Energy</t>
  </si>
  <si>
    <t>RELIANCE</t>
  </si>
  <si>
    <t>Param Iyer</t>
  </si>
  <si>
    <t>TRD20390</t>
  </si>
  <si>
    <t>Construction</t>
  </si>
  <si>
    <t>LT</t>
  </si>
  <si>
    <t>Dilip Kumar</t>
  </si>
  <si>
    <t>TRD20389</t>
  </si>
  <si>
    <t>Consumer</t>
  </si>
  <si>
    <t>ASIANPAINT</t>
  </si>
  <si>
    <t>Chetna Desai</t>
  </si>
  <si>
    <t>TRD20388</t>
  </si>
  <si>
    <t>Pharma</t>
  </si>
  <si>
    <t>SUNPHARMA</t>
  </si>
  <si>
    <t>Barun Roy</t>
  </si>
  <si>
    <t>TRD20387</t>
  </si>
  <si>
    <t>Auto</t>
  </si>
  <si>
    <t>MARUTI</t>
  </si>
  <si>
    <t>Asha Nair</t>
  </si>
  <si>
    <t>TRD20386</t>
  </si>
  <si>
    <t>TRD20385</t>
  </si>
  <si>
    <t>TRD20384</t>
  </si>
  <si>
    <t>TRD20383</t>
  </si>
  <si>
    <t>TRD20382</t>
  </si>
  <si>
    <t>TRD20381</t>
  </si>
  <si>
    <t>TRD20380</t>
  </si>
  <si>
    <t>TRD20379</t>
  </si>
  <si>
    <t>TRD20378</t>
  </si>
  <si>
    <t>TRD20377</t>
  </si>
  <si>
    <t>TRD20376</t>
  </si>
  <si>
    <t>TRD20375</t>
  </si>
  <si>
    <t>TRD20374</t>
  </si>
  <si>
    <t>TRD20373</t>
  </si>
  <si>
    <t>TRD20372</t>
  </si>
  <si>
    <t>TRD20371</t>
  </si>
  <si>
    <t>TRD20370</t>
  </si>
  <si>
    <t>TRD20369</t>
  </si>
  <si>
    <t>TRD20368</t>
  </si>
  <si>
    <t>TRD20367</t>
  </si>
  <si>
    <t>TRD20366</t>
  </si>
  <si>
    <t>TRD20365</t>
  </si>
  <si>
    <t>TRD20364</t>
  </si>
  <si>
    <t>TRD20363</t>
  </si>
  <si>
    <t>TRD20362</t>
  </si>
  <si>
    <t>TRD20361</t>
  </si>
  <si>
    <t>TRD20360</t>
  </si>
  <si>
    <t>TRD20359</t>
  </si>
  <si>
    <t>TRD20358</t>
  </si>
  <si>
    <t>TRD20357</t>
  </si>
  <si>
    <t>TRD20356</t>
  </si>
  <si>
    <t>TRD20355</t>
  </si>
  <si>
    <t>TRD20354</t>
  </si>
  <si>
    <t>TRD20353</t>
  </si>
  <si>
    <t>TRD20352</t>
  </si>
  <si>
    <t>TRD20351</t>
  </si>
  <si>
    <t>TRD20350</t>
  </si>
  <si>
    <t>TRD20349</t>
  </si>
  <si>
    <t>TRD20348</t>
  </si>
  <si>
    <t>TRD20347</t>
  </si>
  <si>
    <t>TRD20346</t>
  </si>
  <si>
    <t>TRD20345</t>
  </si>
  <si>
    <t>TRD20344</t>
  </si>
  <si>
    <t>TRD20343</t>
  </si>
  <si>
    <t>TRD20342</t>
  </si>
  <si>
    <t>TRD20341</t>
  </si>
  <si>
    <t>TRD20340</t>
  </si>
  <si>
    <t>TRD20339</t>
  </si>
  <si>
    <t>TRD20338</t>
  </si>
  <si>
    <t>TRD20337</t>
  </si>
  <si>
    <t>TRD20336</t>
  </si>
  <si>
    <t>TRD20335</t>
  </si>
  <si>
    <t>TRD20334</t>
  </si>
  <si>
    <t>TRD20333</t>
  </si>
  <si>
    <t>TRD20332</t>
  </si>
  <si>
    <t>TRD20331</t>
  </si>
  <si>
    <t>TRD20330</t>
  </si>
  <si>
    <t>TRD20329</t>
  </si>
  <si>
    <t>TRD20328</t>
  </si>
  <si>
    <t>TRD20327</t>
  </si>
  <si>
    <t>TRD20326</t>
  </si>
  <si>
    <t>TRD20325</t>
  </si>
  <si>
    <t>TRD20324</t>
  </si>
  <si>
    <t>TRD20323</t>
  </si>
  <si>
    <t>TRD20322</t>
  </si>
  <si>
    <t>TRD20321</t>
  </si>
  <si>
    <t>TRD20320</t>
  </si>
  <si>
    <t>TRD20319</t>
  </si>
  <si>
    <t>TRD20318</t>
  </si>
  <si>
    <t>TRD20317</t>
  </si>
  <si>
    <t>TRD20316</t>
  </si>
  <si>
    <t>TRD20315</t>
  </si>
  <si>
    <t>TRD20314</t>
  </si>
  <si>
    <t>TRD20313</t>
  </si>
  <si>
    <t>TRD20312</t>
  </si>
  <si>
    <t>TRD20311</t>
  </si>
  <si>
    <t>TRD20310</t>
  </si>
  <si>
    <t>TRD20309</t>
  </si>
  <si>
    <t>TRD20308</t>
  </si>
  <si>
    <t>TRD20307</t>
  </si>
  <si>
    <t>TRD20306</t>
  </si>
  <si>
    <t>TRD20305</t>
  </si>
  <si>
    <t>TRD20304</t>
  </si>
  <si>
    <t>TRD20303</t>
  </si>
  <si>
    <t>TRD20302</t>
  </si>
  <si>
    <t>TRD20301</t>
  </si>
  <si>
    <t>TRD20300</t>
  </si>
  <si>
    <t>TRD20299</t>
  </si>
  <si>
    <t>TRD20298</t>
  </si>
  <si>
    <t>TRD20297</t>
  </si>
  <si>
    <t>TRD20296</t>
  </si>
  <si>
    <t>TRD20295</t>
  </si>
  <si>
    <t>TRD20294</t>
  </si>
  <si>
    <t>TRD20293</t>
  </si>
  <si>
    <t>TRD20292</t>
  </si>
  <si>
    <t>TRD20291</t>
  </si>
  <si>
    <t>TRD20290</t>
  </si>
  <si>
    <t>TRD20289</t>
  </si>
  <si>
    <t>TRD20288</t>
  </si>
  <si>
    <t>TRD20287</t>
  </si>
  <si>
    <t>TRD20286</t>
  </si>
  <si>
    <t>TRD20285</t>
  </si>
  <si>
    <t>TRD20284</t>
  </si>
  <si>
    <t>TRD20283</t>
  </si>
  <si>
    <t>TRD20282</t>
  </si>
  <si>
    <t>TRD20281</t>
  </si>
  <si>
    <t>TRD20280</t>
  </si>
  <si>
    <t>TRD20279</t>
  </si>
  <si>
    <t>TRD20278</t>
  </si>
  <si>
    <t>TRD20277</t>
  </si>
  <si>
    <t>TRD20276</t>
  </si>
  <si>
    <t>TRD20275</t>
  </si>
  <si>
    <t>TRD20274</t>
  </si>
  <si>
    <t>TRD20273</t>
  </si>
  <si>
    <t>TRD20272</t>
  </si>
  <si>
    <t>TRD20271</t>
  </si>
  <si>
    <t>TRD20270</t>
  </si>
  <si>
    <t>TRD20269</t>
  </si>
  <si>
    <t>TRD20268</t>
  </si>
  <si>
    <t>TRD20267</t>
  </si>
  <si>
    <t>TRD20266</t>
  </si>
  <si>
    <t>TRD20265</t>
  </si>
  <si>
    <t>TRD20264</t>
  </si>
  <si>
    <t>TRD20263</t>
  </si>
  <si>
    <t>TRD20262</t>
  </si>
  <si>
    <t>TRD20261</t>
  </si>
  <si>
    <t>TRD20260</t>
  </si>
  <si>
    <t>TRD20259</t>
  </si>
  <si>
    <t>TRD20258</t>
  </si>
  <si>
    <t>TRD20257</t>
  </si>
  <si>
    <t>TRD20256</t>
  </si>
  <si>
    <t>TRD20255</t>
  </si>
  <si>
    <t>TRD20254</t>
  </si>
  <si>
    <t>TRD20253</t>
  </si>
  <si>
    <t>TRD20252</t>
  </si>
  <si>
    <t>TRD20251</t>
  </si>
  <si>
    <t>TRD20250</t>
  </si>
  <si>
    <t>TRD20249</t>
  </si>
  <si>
    <t>TRD20248</t>
  </si>
  <si>
    <t>TRD20247</t>
  </si>
  <si>
    <t>TRD20246</t>
  </si>
  <si>
    <t>TRD20245</t>
  </si>
  <si>
    <t>TRD20244</t>
  </si>
  <si>
    <t>TRD20243</t>
  </si>
  <si>
    <t>TRD20242</t>
  </si>
  <si>
    <t>TRD20241</t>
  </si>
  <si>
    <t>TRD20240</t>
  </si>
  <si>
    <t>TRD20239</t>
  </si>
  <si>
    <t>TRD20238</t>
  </si>
  <si>
    <t>TRD20237</t>
  </si>
  <si>
    <t>TRD20236</t>
  </si>
  <si>
    <t>TRD20235</t>
  </si>
  <si>
    <t>TRD20234</t>
  </si>
  <si>
    <t>TRD20233</t>
  </si>
  <si>
    <t>TRD20232</t>
  </si>
  <si>
    <t>TRD20231</t>
  </si>
  <si>
    <t>TRD20230</t>
  </si>
  <si>
    <t>TRD20229</t>
  </si>
  <si>
    <t>TRD20228</t>
  </si>
  <si>
    <t>TRD20227</t>
  </si>
  <si>
    <t>TRD20226</t>
  </si>
  <si>
    <t>TRD20225</t>
  </si>
  <si>
    <t>TRD20224</t>
  </si>
  <si>
    <t>TRD20223</t>
  </si>
  <si>
    <t>TRD20222</t>
  </si>
  <si>
    <t>TRD20221</t>
  </si>
  <si>
    <t>TRD20220</t>
  </si>
  <si>
    <t>TRD20219</t>
  </si>
  <si>
    <t>TRD20218</t>
  </si>
  <si>
    <t>TRD20217</t>
  </si>
  <si>
    <t>TRD20216</t>
  </si>
  <si>
    <t>TRD20215</t>
  </si>
  <si>
    <t>TRD20214</t>
  </si>
  <si>
    <t>TRD20213</t>
  </si>
  <si>
    <t>TRD20212</t>
  </si>
  <si>
    <t>TRD20211</t>
  </si>
  <si>
    <t>TRD20210</t>
  </si>
  <si>
    <t>TRD20209</t>
  </si>
  <si>
    <t>TRD20208</t>
  </si>
  <si>
    <t>TRD20207</t>
  </si>
  <si>
    <t>TRD20206</t>
  </si>
  <si>
    <t>TRD20205</t>
  </si>
  <si>
    <t>TRD20204</t>
  </si>
  <si>
    <t>TRD20203</t>
  </si>
  <si>
    <t>TRD20202</t>
  </si>
  <si>
    <t>TRD20201</t>
  </si>
  <si>
    <t>TRD20200</t>
  </si>
  <si>
    <t>TRD20199</t>
  </si>
  <si>
    <t>TRD20198</t>
  </si>
  <si>
    <t>TRD20197</t>
  </si>
  <si>
    <t>TRD20196</t>
  </si>
  <si>
    <t>TRD20195</t>
  </si>
  <si>
    <t>TRD20194</t>
  </si>
  <si>
    <t>TRD20193</t>
  </si>
  <si>
    <t>TRD20192</t>
  </si>
  <si>
    <t>TRD20191</t>
  </si>
  <si>
    <t>TRD20190</t>
  </si>
  <si>
    <t>TRD20189</t>
  </si>
  <si>
    <t>TRD20188</t>
  </si>
  <si>
    <t>TRD20187</t>
  </si>
  <si>
    <t>TRD20186</t>
  </si>
  <si>
    <t>TRD20185</t>
  </si>
  <si>
    <t>TRD20184</t>
  </si>
  <si>
    <t>TRD20183</t>
  </si>
  <si>
    <t>TRD20182</t>
  </si>
  <si>
    <t>TRD20181</t>
  </si>
  <si>
    <t>TRD20180</t>
  </si>
  <si>
    <t>TRD20179</t>
  </si>
  <si>
    <t>TRD20178</t>
  </si>
  <si>
    <t>TRD20177</t>
  </si>
  <si>
    <t>TRD20176</t>
  </si>
  <si>
    <t>TRD20175</t>
  </si>
  <si>
    <t>TRD20174</t>
  </si>
  <si>
    <t>TRD20173</t>
  </si>
  <si>
    <t>TRD20172</t>
  </si>
  <si>
    <t>TRD20171</t>
  </si>
  <si>
    <t>TRD20170</t>
  </si>
  <si>
    <t>TRD20169</t>
  </si>
  <si>
    <t>TRD20168</t>
  </si>
  <si>
    <t>TRD20167</t>
  </si>
  <si>
    <t>TRD20166</t>
  </si>
  <si>
    <t>TRD20165</t>
  </si>
  <si>
    <t>TRD20164</t>
  </si>
  <si>
    <t>TRD20163</t>
  </si>
  <si>
    <t>TRD20162</t>
  </si>
  <si>
    <t>TRD20161</t>
  </si>
  <si>
    <t>TRD20160</t>
  </si>
  <si>
    <t>TRD20159</t>
  </si>
  <si>
    <t>TRD20158</t>
  </si>
  <si>
    <t>TRD20157</t>
  </si>
  <si>
    <t>TRD20156</t>
  </si>
  <si>
    <t>TRD20155</t>
  </si>
  <si>
    <t>TRD20154</t>
  </si>
  <si>
    <t>TRD20153</t>
  </si>
  <si>
    <t>TRD20152</t>
  </si>
  <si>
    <t>TRD20151</t>
  </si>
  <si>
    <t>TRD20150</t>
  </si>
  <si>
    <t>TRD20149</t>
  </si>
  <si>
    <t>TRD20148</t>
  </si>
  <si>
    <t>TRD20147</t>
  </si>
  <si>
    <t>TRD20146</t>
  </si>
  <si>
    <t>TRD20145</t>
  </si>
  <si>
    <t>TRD20144</t>
  </si>
  <si>
    <t>TRD20143</t>
  </si>
  <si>
    <t>TRD20142</t>
  </si>
  <si>
    <t>TRD20141</t>
  </si>
  <si>
    <t>TRD20140</t>
  </si>
  <si>
    <t>TRD20139</t>
  </si>
  <si>
    <t>TRD20138</t>
  </si>
  <si>
    <t>TRD20137</t>
  </si>
  <si>
    <t>TRD20136</t>
  </si>
  <si>
    <t>TRD20135</t>
  </si>
  <si>
    <t>TRD20134</t>
  </si>
  <si>
    <t>TRD20133</t>
  </si>
  <si>
    <t>TRD20132</t>
  </si>
  <si>
    <t>TRD20131</t>
  </si>
  <si>
    <t>TRD20130</t>
  </si>
  <si>
    <t>TRD20129</t>
  </si>
  <si>
    <t>TRD20128</t>
  </si>
  <si>
    <t>TRD20127</t>
  </si>
  <si>
    <t>TRD20126</t>
  </si>
  <si>
    <t>TRD20125</t>
  </si>
  <si>
    <t>TRD20124</t>
  </si>
  <si>
    <t>TRD20123</t>
  </si>
  <si>
    <t>TRD20122</t>
  </si>
  <si>
    <t>TRD20121</t>
  </si>
  <si>
    <t>TRD20120</t>
  </si>
  <si>
    <t>TRD20119</t>
  </si>
  <si>
    <t>TRD20118</t>
  </si>
  <si>
    <t>TRD20117</t>
  </si>
  <si>
    <t>TRD20116</t>
  </si>
  <si>
    <t>TRD20115</t>
  </si>
  <si>
    <t>TRD20114</t>
  </si>
  <si>
    <t>TRD20113</t>
  </si>
  <si>
    <t>TRD20112</t>
  </si>
  <si>
    <t>TRD20111</t>
  </si>
  <si>
    <t>TRD20110</t>
  </si>
  <si>
    <t>TRD20109</t>
  </si>
  <si>
    <t>TRD20108</t>
  </si>
  <si>
    <t>TRD20107</t>
  </si>
  <si>
    <t>TRD20106</t>
  </si>
  <si>
    <t>TRD20105</t>
  </si>
  <si>
    <t>TRD20104</t>
  </si>
  <si>
    <t>TRD20103</t>
  </si>
  <si>
    <t>TRD20102</t>
  </si>
  <si>
    <t>TRD20101</t>
  </si>
  <si>
    <t>TRD20100</t>
  </si>
  <si>
    <t>TRD20099</t>
  </si>
  <si>
    <t>TRD20098</t>
  </si>
  <si>
    <t>TRD20097</t>
  </si>
  <si>
    <t>TRD20096</t>
  </si>
  <si>
    <t>TRD20095</t>
  </si>
  <si>
    <t>TRD20094</t>
  </si>
  <si>
    <t>TRD20093</t>
  </si>
  <si>
    <t>TRD20092</t>
  </si>
  <si>
    <t>TRD20091</t>
  </si>
  <si>
    <t>TRD20090</t>
  </si>
  <si>
    <t>TRD20089</t>
  </si>
  <si>
    <t>TRD20088</t>
  </si>
  <si>
    <t>TRD20087</t>
  </si>
  <si>
    <t>TRD20086</t>
  </si>
  <si>
    <t>TRD20085</t>
  </si>
  <si>
    <t>TRD20084</t>
  </si>
  <si>
    <t>TRD20083</t>
  </si>
  <si>
    <t>TRD20082</t>
  </si>
  <si>
    <t>TRD20081</t>
  </si>
  <si>
    <t>TRD20080</t>
  </si>
  <si>
    <t>TRD20079</t>
  </si>
  <si>
    <t>TRD20078</t>
  </si>
  <si>
    <t>TRD20077</t>
  </si>
  <si>
    <t>TRD20076</t>
  </si>
  <si>
    <t>TRD20075</t>
  </si>
  <si>
    <t>TRD20074</t>
  </si>
  <si>
    <t>TRD20073</t>
  </si>
  <si>
    <t>TRD20072</t>
  </si>
  <si>
    <t>TRD20071</t>
  </si>
  <si>
    <t>TRD20070</t>
  </si>
  <si>
    <t>TRD20069</t>
  </si>
  <si>
    <t>TRD20068</t>
  </si>
  <si>
    <t>TRD20067</t>
  </si>
  <si>
    <t>TRD20066</t>
  </si>
  <si>
    <t>TRD20065</t>
  </si>
  <si>
    <t>TRD20064</t>
  </si>
  <si>
    <t>TRD20063</t>
  </si>
  <si>
    <t>TRD20062</t>
  </si>
  <si>
    <t>TRD20061</t>
  </si>
  <si>
    <t>TRD20060</t>
  </si>
  <si>
    <t>TRD20059</t>
  </si>
  <si>
    <t>TRD20058</t>
  </si>
  <si>
    <t>TRD20057</t>
  </si>
  <si>
    <t>TRD20056</t>
  </si>
  <si>
    <t>TRD20055</t>
  </si>
  <si>
    <t>TRD20054</t>
  </si>
  <si>
    <t>TRD20053</t>
  </si>
  <si>
    <t>TRD20052</t>
  </si>
  <si>
    <t>TRD20051</t>
  </si>
  <si>
    <t>TRD20050</t>
  </si>
  <si>
    <t>TRD20049</t>
  </si>
  <si>
    <t>TRD20048</t>
  </si>
  <si>
    <t>TRD20047</t>
  </si>
  <si>
    <t>TRD20046</t>
  </si>
  <si>
    <t>TRD20045</t>
  </si>
  <si>
    <t>TRD20044</t>
  </si>
  <si>
    <t>TRD20043</t>
  </si>
  <si>
    <t>TRD20042</t>
  </si>
  <si>
    <t>TRD20041</t>
  </si>
  <si>
    <t>TRD20040</t>
  </si>
  <si>
    <t>TRD20039</t>
  </si>
  <si>
    <t>TRD20038</t>
  </si>
  <si>
    <t>TRD20037</t>
  </si>
  <si>
    <t>TRD20036</t>
  </si>
  <si>
    <t>TRD20035</t>
  </si>
  <si>
    <t>TRD20034</t>
  </si>
  <si>
    <t>TRD20033</t>
  </si>
  <si>
    <t>TRD20032</t>
  </si>
  <si>
    <t>TRD20031</t>
  </si>
  <si>
    <t>TRD20030</t>
  </si>
  <si>
    <t>TRD20029</t>
  </si>
  <si>
    <t>TRD20028</t>
  </si>
  <si>
    <t>TRD20027</t>
  </si>
  <si>
    <t>TRD20026</t>
  </si>
  <si>
    <t>TRD20025</t>
  </si>
  <si>
    <t>TRD20024</t>
  </si>
  <si>
    <t>TRD20023</t>
  </si>
  <si>
    <t>TRD20022</t>
  </si>
  <si>
    <t>TRD20021</t>
  </si>
  <si>
    <t>TRD20020</t>
  </si>
  <si>
    <t>TRD20019</t>
  </si>
  <si>
    <t>TRD20018</t>
  </si>
  <si>
    <t>TRD20017</t>
  </si>
  <si>
    <t>TRD20016</t>
  </si>
  <si>
    <t>TRD20015</t>
  </si>
  <si>
    <t>TRD20014</t>
  </si>
  <si>
    <t>TRD20013</t>
  </si>
  <si>
    <t>TRD20012</t>
  </si>
  <si>
    <t>TRD20011</t>
  </si>
  <si>
    <t>TRD20010</t>
  </si>
  <si>
    <t>TRD20009</t>
  </si>
  <si>
    <t>TRD20008</t>
  </si>
  <si>
    <t>TRD20007</t>
  </si>
  <si>
    <t>TRD20006</t>
  </si>
  <si>
    <t>TRD20005</t>
  </si>
  <si>
    <t>TRD20004</t>
  </si>
  <si>
    <t>TRD20003</t>
  </si>
  <si>
    <t>TRD20002</t>
  </si>
  <si>
    <t>TRD20001</t>
  </si>
  <si>
    <t>LTCG_Tax</t>
  </si>
  <si>
    <t>STCG_Tax</t>
  </si>
  <si>
    <t>Tax_Type</t>
  </si>
  <si>
    <t>PnL_Pct</t>
  </si>
  <si>
    <t>PnL</t>
  </si>
  <si>
    <t>Sell_Value</t>
  </si>
  <si>
    <t>Buy_Value</t>
  </si>
  <si>
    <t>Holding_Days</t>
  </si>
  <si>
    <t>Sell_Date</t>
  </si>
  <si>
    <t>Buy_Date</t>
  </si>
  <si>
    <t>Sell_Price</t>
  </si>
  <si>
    <t>Buy_Price</t>
  </si>
  <si>
    <t>Qty</t>
  </si>
  <si>
    <t>Trade_Type</t>
  </si>
  <si>
    <t>Sector</t>
  </si>
  <si>
    <t>Stock_Symbol</t>
  </si>
  <si>
    <t>Broker</t>
  </si>
  <si>
    <t>Investor_Name</t>
  </si>
  <si>
    <t>TradeID</t>
  </si>
  <si>
    <t>SUMIF PnL by sector → CF color scale on results → label as heatmap</t>
  </si>
  <si>
    <t>Final: Build a full portfolio dashboard with sector heatmap (CF color scale on SUMIF table).</t>
  </si>
  <si>
    <t>Hard</t>
  </si>
  <si>
    <t>All metrics for that investor: trades, total buy, total sell, STCG, LTCG, net PnL — via SUMIFS</t>
  </si>
  <si>
    <t>Create a complete 1-page investor tax report for any investor ID you type.</t>
  </si>
  <si>
    <t>Build a CHOOSE-based what-if: input 1=optimistic (+20% PnL), 2=base, 3=pessimistic (-20%).</t>
  </si>
  <si>
    <t>Calculate Sharpe-like ratio: avg PnL_Pct / STDEV of PnL_Pct.</t>
  </si>
  <si>
    <t>Select all → Uncheck locked → Select M:S → Check locked → Protect Sheet</t>
  </si>
  <si>
    <t>Protect columns M-S (calculated columns) from editing; keep A-L editable.</t>
  </si>
  <si>
    <t>Win rate per sector → MAX → match sector name</t>
  </si>
  <si>
    <t>Find the sector with the highest average win rate (profitable trade %).</t>
  </si>
  <si>
    <t>Use MATCH to find which row number has the absolute worst loss.</t>
  </si>
  <si>
    <t>Select L and P columns → Insert Scatter → observe trend</t>
  </si>
  <si>
    <t>Create a scatter plot: X=Holding_Days, Y=PnL_Pct — see if longer holding = better returns.</t>
  </si>
  <si>
    <t>Simulate tax saving: if holding increased to &gt;365 days for STCG trades, what's tax saved?</t>
  </si>
  <si>
    <t>INDIRECT + CHOOSE: switch summary between Buy_Value, Sell_Value, PnL based on input number.</t>
  </si>
  <si>
    <t>6 brokers × 5 metrics = 30 cells using COUNTIF/COUNTIFS/AVERAGEIF/SUMIFS</t>
  </si>
  <si>
    <t>Build a Broker Comparison table: for each broker: trades, win%, avg PnL, total tax, best stock.</t>
  </si>
  <si>
    <t>Select A2:S401 → CF → Formula → =$P2&gt;50 → Gold fill</t>
  </si>
  <si>
    <t>Conditional formatting: highlight entire row in gold if PnL_Pct &gt; 50%.</t>
  </si>
  <si>
    <t>Use XLOOKUP with search_mode=-1 (search from last) for most recent trade of 'TCS'.</t>
  </si>
  <si>
    <t>SUMIFS per investor (R+S) → MAX → INDEX-MATCH investor name</t>
  </si>
  <si>
    <t>Identify the investor with the highest total tax paid.</t>
  </si>
  <si>
    <t>Create 12-month PnL trend using SUMPRODUCT+MONTH for each month.</t>
  </si>
  <si>
    <t>4 SUMIFS/COUNTIFS/MAXIFS/AVERAGEIFS all referencing one input cell</t>
  </si>
  <si>
    <t>Dynamic stock lookup: type a Stock_Symbol in a cell → show count, total PnL, avg PnL%, best trade.</t>
  </si>
  <si>
    <t>Weighted average PnL_Pct weighted by Buy_Value (larger trades matter more).</t>
  </si>
  <si>
    <t>Find top-5 best and worst trades by PnL using LARGE and SMALL.</t>
  </si>
  <si>
    <t>Monte Carlo-style: if every trade's PnL improves by 10%, what's new total? Worse by 10%?</t>
  </si>
  <si>
    <t>7 metric cells using COUNTA, COUNTIF ratio, SUMIF&gt;0, SUMIF&lt;0, SUM, SUMPRODUCT, AVERAGE</t>
  </si>
  <si>
    <t>Build full P&amp;L Summary: total trades, win%, total profit, total loss, net PnL, total tax, avg holding.</t>
  </si>
  <si>
    <t xml:space="preserve">  ▶  HARD QUESTIONS</t>
  </si>
  <si>
    <t>NETWORKDAYS: calculate trading days held for each trade.</t>
  </si>
  <si>
    <t>Intermediate</t>
  </si>
  <si>
    <t>Copy column A → Remove Duplicates → compare count</t>
  </si>
  <si>
    <t>Remove Duplicates: check if any TradeID appears twice.</t>
  </si>
  <si>
    <t>Use FIND+MID to extract year from Buy_Date formatted as text.</t>
  </si>
  <si>
    <t>Calculate portfolio turnover rate: total Buy_Value / average portfolio value.</t>
  </si>
  <si>
    <t>Data → Validation → List → Long,Short</t>
  </si>
  <si>
    <t>Data validation: Trade_Type only allows 'Long' or 'Short'.</t>
  </si>
  <si>
    <t>DATEDIF: calculate years held for each trade.</t>
  </si>
  <si>
    <t>Build SUMIF table → Insert Column Chart → add data labels</t>
  </si>
  <si>
    <t>Bar chart: PnL by Sector with data labels.</t>
  </si>
  <si>
    <t>Click C2 → View → Freeze Panes</t>
  </si>
  <si>
    <t>Freeze row 1 and columns A-B simultaneously.</t>
  </si>
  <si>
    <t>Name Manager → TradePnL → =$O$2:$O$401</t>
  </si>
  <si>
    <t>Create a dynamic named range for PnL column; use in all summary formulas.</t>
  </si>
  <si>
    <t>Win rate = COUNTIFS(C:C,broker,O:O,"&gt;0")/COUNTIF(C:C,broker) per broker → MAX</t>
  </si>
  <si>
    <t>Find the broker with highest win rate.</t>
  </si>
  <si>
    <t>Build 2-row reference: row1=sector names, row2=descriptions. HLOOKUP(E2,range,2,0)</t>
  </si>
  <si>
    <t>Use HLOOKUP on sector reference table to get sector description.</t>
  </si>
  <si>
    <t>Sort by Buy_Date → =SUM(O$2:O2)  drag down</t>
  </si>
  <si>
    <t>Create running cumulative PnL column (sorted by Buy_Date).</t>
  </si>
  <si>
    <t>Calculate capital gains tax per trade in a new column.</t>
  </si>
  <si>
    <t>SUMIFS with date: total PnL for trades bought in 2022.</t>
  </si>
  <si>
    <t>Data → Sort → 2 levels</t>
  </si>
  <si>
    <t>Advanced Sort: Sector A-Z, then PnL_Pct Z-A.</t>
  </si>
  <si>
    <t>Win rate per sector: profitable trades / total trades as %.</t>
  </si>
  <si>
    <t>Insert PivotTable → Broker rows, Sector columns, PnL SUM</t>
  </si>
  <si>
    <t>PivotTable: Broker (rows) × Sector (columns) → SUM PnL.</t>
  </si>
  <si>
    <t>Nested IF: tax bracket: STCG='Short Term 15%', LTCG+profit='Long Term 10%', loss='No Tax'.</t>
  </si>
  <si>
    <t>INDEX-MATCH: find Investor_Name with the highest single PnL.</t>
  </si>
  <si>
    <t>COUNTIF, SUMIF, SUMIF, AVERAGEIF for each of 8 sectors</t>
  </si>
  <si>
    <t>Summary table: Sector × (Count trades, Total Buy_Value, Total PnL, Avg PnL_Pct).</t>
  </si>
  <si>
    <t xml:space="preserve">  ▶  INTERMEDIATE QUESTIONS</t>
  </si>
  <si>
    <t>MINIFS: smallest PnL (worst loss) per Sector.</t>
  </si>
  <si>
    <t>Medium</t>
  </si>
  <si>
    <t>Filter IT → =SUBTOTAL(9,O2:O401)</t>
  </si>
  <si>
    <t>SUBTOTAL: sum PnL for visible rows after filtering sector=IT.</t>
  </si>
  <si>
    <t>CONCATENATE: Investor_Name + ' | ' + Stock_Symbol.</t>
  </si>
  <si>
    <t>TEXT(): format Buy_Date as 'YYYY-Q' (year + quarter).</t>
  </si>
  <si>
    <t>COUNTIFS: count trades where Buy_Price &gt; 1000 AND Qty &gt; 100.</t>
  </si>
  <si>
    <t>AVERAGEIFS: avg Holding_Days for LTCG trades with PnL &gt; 0.</t>
  </si>
  <si>
    <t>2 CF rules on column O</t>
  </si>
  <si>
    <t>Conditional Formatting: PnL column red if negative, green if positive.</t>
  </si>
  <si>
    <t>MAXIFS: highest PnL per Broker.</t>
  </si>
  <si>
    <t>IFERROR: VLOOKUP 'TRD00000' → 'Trade Not Found'.</t>
  </si>
  <si>
    <t>RANK: rank PnL in O2 among all PnL values.</t>
  </si>
  <si>
    <t>SUMPRODUCT: total tax = STCG_Tax + LTCG_Tax summed across all.</t>
  </si>
  <si>
    <t>Filter Q=LTCG AND O&gt;0</t>
  </si>
  <si>
    <t>Filter to show only LTCG profitable trades.</t>
  </si>
  <si>
    <t>Data → Sort → Column O → Z to A</t>
  </si>
  <si>
    <t>Sort entire table by PnL (highest to lowest).</t>
  </si>
  <si>
    <t>SUMIFS: sum Buy_Value for 'Zerodha' broker AND 'Banking' sector.</t>
  </si>
  <si>
    <t>AVERAGEIF: average PnL_Pct for Banking sector.</t>
  </si>
  <si>
    <t>IF: if PnL &gt; 0 show 'Profit' else show 'Loss'.</t>
  </si>
  <si>
    <t>XLOOKUP: find Investor_Name for TradeID 'TRD20200'.</t>
  </si>
  <si>
    <t>VLOOKUP: find the PnL for TradeID 'TRD20100'.</t>
  </si>
  <si>
    <t>Count trades where PnL_Pct &gt; 20% AND Holding_Days &gt; 365.</t>
  </si>
  <si>
    <t>Total PnL for IT sector AND LTCG tax type.</t>
  </si>
  <si>
    <t xml:space="preserve">  ▶  MEDIUM QUESTIONS</t>
  </si>
  <si>
    <t>Count trades with Broker = 'Zerodha'.</t>
  </si>
  <si>
    <t>Basic</t>
  </si>
  <si>
    <t>Use COUNTA on Stock_Symbol.</t>
  </si>
  <si>
    <t>Use MIN on Sell_Price.</t>
  </si>
  <si>
    <t>Use MAX on Buy_Price.</t>
  </si>
  <si>
    <t>Find average Holding_Days.</t>
  </si>
  <si>
    <t>Count losing trades (PnL &lt; 0).</t>
  </si>
  <si>
    <t>Count profitable trades (PnL &gt; 0).</t>
  </si>
  <si>
    <t>Sum PnL for IT sector.</t>
  </si>
  <si>
    <t>How many trades for stock 'TCS'?</t>
  </si>
  <si>
    <t>Sum LTCG_Tax collected.</t>
  </si>
  <si>
    <t>Sum STCG_Tax collected.</t>
  </si>
  <si>
    <t>Average PnL_Pct.</t>
  </si>
  <si>
    <t>Find MIN PnL (worst loss).</t>
  </si>
  <si>
    <t>Find MAX PnL.</t>
  </si>
  <si>
    <t>How many trades are LTCG type?</t>
  </si>
  <si>
    <t>How many trades are STCG type?</t>
  </si>
  <si>
    <t>Total PnL across all trades.</t>
  </si>
  <si>
    <t>Sum total Sell_Value.</t>
  </si>
  <si>
    <t>Sum total Buy_Value.</t>
  </si>
  <si>
    <t>Count total trades.</t>
  </si>
  <si>
    <t xml:space="preserve">  ▶  BASIC QUESTIONS</t>
  </si>
  <si>
    <t>Your Answer (type formula here)</t>
  </si>
  <si>
    <t>Hint / Formula Guide</t>
  </si>
  <si>
    <t>Question</t>
  </si>
  <si>
    <t>Level</t>
  </si>
  <si>
    <t>#</t>
  </si>
  <si>
    <t>🟢 Basic = Green   🟡 Medium = Yellow   🟠 Intermediate = Orange   🔴 Hard = Red   |   Write your formula in Column E (Your Answer)</t>
  </si>
  <si>
    <t>📝 Practice Questions — DB4_StockPortfolio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</si>
</sst>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b/>
      <sz val="10"/>
      <name val="Calibri"/>
    </font>
    <font>
      <i/>
      <sz val="9"/>
      <color rgb="FF444444"/>
      <name val="Calibri"/>
    </font>
    <font>
      <b/>
      <sz val="14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0FFF0"/>
      </patternFill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632523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FFF2CC"/>
      </patternFill>
    </fill>
    <fill>
      <patternFill patternType="solid">
        <fgColor rgb="FF7D4E1D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7">
    <xf numFmtId="0" fontId="0" fillId="0" borderId="0" xfId="0"/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2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0" xfId="0"/>
    <xf numFmtId="0" fontId="2" fillId="6" borderId="0" xfId="0" applyFont="1" applyFill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" fillId="8" borderId="0" xfId="0" applyFont="1" applyFill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2" fillId="10" borderId="0" xfId="0" applyFont="1" applyFill="1" applyAlignment="1">
      <alignment vertical="center"/>
    </xf>
    <xf numFmtId="0" fontId="3" fillId="11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E8B3-DC97-4959-858C-CC82DF780E64}">
  <dimension ref="A1:S4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14" customWidth="1"/>
    <col min="4" max="4" width="13" customWidth="1"/>
    <col min="5" max="5" width="16" customWidth="1"/>
    <col min="6" max="6" width="11" customWidth="1"/>
    <col min="7" max="7" width="8" customWidth="1"/>
    <col min="8" max="9" width="10" customWidth="1"/>
    <col min="10" max="11" width="12" customWidth="1"/>
    <col min="12" max="12" width="13" customWidth="1"/>
    <col min="13" max="14" width="12" customWidth="1"/>
    <col min="15" max="16" width="10" customWidth="1"/>
    <col min="17" max="17" width="12" customWidth="1"/>
    <col min="18" max="19" width="11" customWidth="1"/>
  </cols>
  <sheetData>
    <row r="1" spans="1:19" ht="28.05" customHeight="1" x14ac:dyDescent="0.3">
      <c r="A1" s="11" t="s">
        <v>467</v>
      </c>
      <c r="B1" s="11" t="s">
        <v>466</v>
      </c>
      <c r="C1" s="11" t="s">
        <v>465</v>
      </c>
      <c r="D1" s="11" t="s">
        <v>464</v>
      </c>
      <c r="E1" s="11" t="s">
        <v>463</v>
      </c>
      <c r="F1" s="11" t="s">
        <v>462</v>
      </c>
      <c r="G1" s="11" t="s">
        <v>461</v>
      </c>
      <c r="H1" s="11" t="s">
        <v>460</v>
      </c>
      <c r="I1" s="11" t="s">
        <v>459</v>
      </c>
      <c r="J1" s="11" t="s">
        <v>458</v>
      </c>
      <c r="K1" s="11" t="s">
        <v>457</v>
      </c>
      <c r="L1" s="11" t="s">
        <v>456</v>
      </c>
      <c r="M1" s="11" t="s">
        <v>455</v>
      </c>
      <c r="N1" s="11" t="s">
        <v>454</v>
      </c>
      <c r="O1" s="11" t="s">
        <v>453</v>
      </c>
      <c r="P1" s="11" t="s">
        <v>452</v>
      </c>
      <c r="Q1" s="11" t="s">
        <v>451</v>
      </c>
      <c r="R1" s="11" t="s">
        <v>450</v>
      </c>
      <c r="S1" s="11" t="s">
        <v>449</v>
      </c>
    </row>
    <row r="2" spans="1:19" ht="18" customHeight="1" x14ac:dyDescent="0.3">
      <c r="A2" s="9" t="s">
        <v>448</v>
      </c>
      <c r="B2" s="7" t="s">
        <v>42</v>
      </c>
      <c r="C2" s="7" t="s">
        <v>19</v>
      </c>
      <c r="D2" s="7" t="s">
        <v>41</v>
      </c>
      <c r="E2" s="7" t="s">
        <v>12</v>
      </c>
      <c r="F2" s="7" t="s">
        <v>1</v>
      </c>
      <c r="G2" s="9">
        <v>56</v>
      </c>
      <c r="H2" s="6">
        <v>3458.2</v>
      </c>
      <c r="I2" s="6">
        <v>3031.53</v>
      </c>
      <c r="J2" s="10">
        <v>44954</v>
      </c>
      <c r="K2" s="10">
        <v>45264</v>
      </c>
      <c r="L2" s="9">
        <v>310</v>
      </c>
      <c r="M2" s="6">
        <v>193659.2</v>
      </c>
      <c r="N2" s="6">
        <v>169765.68</v>
      </c>
      <c r="O2" s="6">
        <v>-23893.52</v>
      </c>
      <c r="P2" s="8">
        <v>-12.34</v>
      </c>
      <c r="Q2" s="7" t="s">
        <v>26</v>
      </c>
      <c r="R2" s="6">
        <v>0</v>
      </c>
      <c r="S2" s="6">
        <v>0</v>
      </c>
    </row>
    <row r="3" spans="1:19" ht="18" customHeight="1" x14ac:dyDescent="0.3">
      <c r="A3" s="4" t="s">
        <v>447</v>
      </c>
      <c r="B3" s="2" t="s">
        <v>39</v>
      </c>
      <c r="C3" s="2" t="s">
        <v>14</v>
      </c>
      <c r="D3" s="2" t="s">
        <v>38</v>
      </c>
      <c r="E3" s="2" t="s">
        <v>7</v>
      </c>
      <c r="F3" s="2" t="s">
        <v>1</v>
      </c>
      <c r="G3" s="4">
        <v>440</v>
      </c>
      <c r="H3" s="1">
        <v>324.83999999999997</v>
      </c>
      <c r="I3" s="1">
        <v>281.11</v>
      </c>
      <c r="J3" s="5">
        <v>44287</v>
      </c>
      <c r="K3" s="5">
        <v>44648</v>
      </c>
      <c r="L3" s="4">
        <v>361</v>
      </c>
      <c r="M3" s="1">
        <v>142929.60000000001</v>
      </c>
      <c r="N3" s="1">
        <v>123688.4</v>
      </c>
      <c r="O3" s="1">
        <v>-19241.2</v>
      </c>
      <c r="P3" s="3">
        <v>-13.46</v>
      </c>
      <c r="Q3" s="2" t="s">
        <v>26</v>
      </c>
      <c r="R3" s="1">
        <v>0</v>
      </c>
      <c r="S3" s="1">
        <v>0</v>
      </c>
    </row>
    <row r="4" spans="1:19" ht="18" customHeight="1" x14ac:dyDescent="0.3">
      <c r="A4" s="9" t="s">
        <v>446</v>
      </c>
      <c r="B4" s="7" t="s">
        <v>36</v>
      </c>
      <c r="C4" s="7" t="s">
        <v>9</v>
      </c>
      <c r="D4" s="7" t="s">
        <v>35</v>
      </c>
      <c r="E4" s="7" t="s">
        <v>12</v>
      </c>
      <c r="F4" s="7" t="s">
        <v>1</v>
      </c>
      <c r="G4" s="9">
        <v>478</v>
      </c>
      <c r="H4" s="6">
        <v>2540.4299999999998</v>
      </c>
      <c r="I4" s="6">
        <v>3986.14</v>
      </c>
      <c r="J4" s="10">
        <v>44875</v>
      </c>
      <c r="K4" s="10">
        <v>45359</v>
      </c>
      <c r="L4" s="9">
        <v>484</v>
      </c>
      <c r="M4" s="6">
        <v>1214325.54</v>
      </c>
      <c r="N4" s="6">
        <v>1905374.92</v>
      </c>
      <c r="O4" s="6">
        <v>691049.38</v>
      </c>
      <c r="P4" s="8">
        <v>56.91</v>
      </c>
      <c r="Q4" s="7" t="s">
        <v>0</v>
      </c>
      <c r="R4" s="6">
        <v>0</v>
      </c>
      <c r="S4" s="6">
        <v>59104.94</v>
      </c>
    </row>
    <row r="5" spans="1:19" ht="18" customHeight="1" x14ac:dyDescent="0.3">
      <c r="A5" s="4" t="s">
        <v>445</v>
      </c>
      <c r="B5" s="2" t="s">
        <v>33</v>
      </c>
      <c r="C5" s="2" t="s">
        <v>4</v>
      </c>
      <c r="D5" s="2" t="s">
        <v>32</v>
      </c>
      <c r="E5" s="2" t="s">
        <v>7</v>
      </c>
      <c r="F5" s="2" t="s">
        <v>1</v>
      </c>
      <c r="G5" s="4">
        <v>286</v>
      </c>
      <c r="H5" s="1">
        <v>1379.42</v>
      </c>
      <c r="I5" s="1">
        <v>1590.68</v>
      </c>
      <c r="J5" s="5">
        <v>44522</v>
      </c>
      <c r="K5" s="5">
        <v>45259</v>
      </c>
      <c r="L5" s="4">
        <v>737</v>
      </c>
      <c r="M5" s="1">
        <v>394514.12</v>
      </c>
      <c r="N5" s="1">
        <v>454934.48</v>
      </c>
      <c r="O5" s="1">
        <v>60420.36</v>
      </c>
      <c r="P5" s="3">
        <v>15.32</v>
      </c>
      <c r="Q5" s="2" t="s">
        <v>0</v>
      </c>
      <c r="R5" s="1">
        <v>0</v>
      </c>
      <c r="S5" s="1">
        <v>0</v>
      </c>
    </row>
    <row r="6" spans="1:19" ht="18" customHeight="1" x14ac:dyDescent="0.3">
      <c r="A6" s="9" t="s">
        <v>444</v>
      </c>
      <c r="B6" s="7" t="s">
        <v>30</v>
      </c>
      <c r="C6" s="7" t="s">
        <v>29</v>
      </c>
      <c r="D6" s="7" t="s">
        <v>28</v>
      </c>
      <c r="E6" s="7" t="s">
        <v>27</v>
      </c>
      <c r="F6" s="7" t="s">
        <v>1</v>
      </c>
      <c r="G6" s="9">
        <v>497</v>
      </c>
      <c r="H6" s="6">
        <v>1529.67</v>
      </c>
      <c r="I6" s="6">
        <v>1806.2</v>
      </c>
      <c r="J6" s="10">
        <v>44843</v>
      </c>
      <c r="K6" s="10">
        <v>44885</v>
      </c>
      <c r="L6" s="9">
        <v>42</v>
      </c>
      <c r="M6" s="6">
        <v>760245.99</v>
      </c>
      <c r="N6" s="6">
        <v>897681.4</v>
      </c>
      <c r="O6" s="6">
        <v>137435.41</v>
      </c>
      <c r="P6" s="8">
        <v>18.079999999999998</v>
      </c>
      <c r="Q6" s="7" t="s">
        <v>26</v>
      </c>
      <c r="R6" s="6">
        <v>20615.310000000001</v>
      </c>
      <c r="S6" s="6">
        <v>0</v>
      </c>
    </row>
    <row r="7" spans="1:19" ht="18" customHeight="1" x14ac:dyDescent="0.3">
      <c r="A7" s="4" t="s">
        <v>443</v>
      </c>
      <c r="B7" s="2" t="s">
        <v>24</v>
      </c>
      <c r="C7" s="2" t="s">
        <v>23</v>
      </c>
      <c r="D7" s="2" t="s">
        <v>22</v>
      </c>
      <c r="E7" s="2" t="s">
        <v>7</v>
      </c>
      <c r="F7" s="2" t="s">
        <v>1</v>
      </c>
      <c r="G7" s="4">
        <v>333</v>
      </c>
      <c r="H7" s="1">
        <v>937.5</v>
      </c>
      <c r="I7" s="1">
        <v>1463.66</v>
      </c>
      <c r="J7" s="5">
        <v>44722</v>
      </c>
      <c r="K7" s="5">
        <v>45445</v>
      </c>
      <c r="L7" s="4">
        <v>723</v>
      </c>
      <c r="M7" s="1">
        <v>312187.5</v>
      </c>
      <c r="N7" s="1">
        <v>487398.78</v>
      </c>
      <c r="O7" s="1">
        <v>175211.28</v>
      </c>
      <c r="P7" s="3">
        <v>56.12</v>
      </c>
      <c r="Q7" s="2" t="s">
        <v>0</v>
      </c>
      <c r="R7" s="1">
        <v>0</v>
      </c>
      <c r="S7" s="1">
        <v>7521.13</v>
      </c>
    </row>
    <row r="8" spans="1:19" ht="18" customHeight="1" x14ac:dyDescent="0.3">
      <c r="A8" s="9" t="s">
        <v>442</v>
      </c>
      <c r="B8" s="7" t="s">
        <v>20</v>
      </c>
      <c r="C8" s="7" t="s">
        <v>19</v>
      </c>
      <c r="D8" s="7" t="s">
        <v>18</v>
      </c>
      <c r="E8" s="7" t="s">
        <v>17</v>
      </c>
      <c r="F8" s="7" t="s">
        <v>1</v>
      </c>
      <c r="G8" s="9">
        <v>17</v>
      </c>
      <c r="H8" s="6">
        <v>2017.7</v>
      </c>
      <c r="I8" s="6">
        <v>2933.97</v>
      </c>
      <c r="J8" s="10">
        <v>44250</v>
      </c>
      <c r="K8" s="10">
        <v>44638</v>
      </c>
      <c r="L8" s="9">
        <v>388</v>
      </c>
      <c r="M8" s="6">
        <v>34300.9</v>
      </c>
      <c r="N8" s="6">
        <v>49877.49</v>
      </c>
      <c r="O8" s="6">
        <v>15576.59</v>
      </c>
      <c r="P8" s="8">
        <v>45.41</v>
      </c>
      <c r="Q8" s="7" t="s">
        <v>0</v>
      </c>
      <c r="R8" s="6">
        <v>0</v>
      </c>
      <c r="S8" s="6">
        <v>0</v>
      </c>
    </row>
    <row r="9" spans="1:19" ht="18" customHeight="1" x14ac:dyDescent="0.3">
      <c r="A9" s="4" t="s">
        <v>441</v>
      </c>
      <c r="B9" s="2" t="s">
        <v>15</v>
      </c>
      <c r="C9" s="2" t="s">
        <v>14</v>
      </c>
      <c r="D9" s="2" t="s">
        <v>13</v>
      </c>
      <c r="E9" s="2" t="s">
        <v>12</v>
      </c>
      <c r="F9" s="2" t="s">
        <v>1</v>
      </c>
      <c r="G9" s="4">
        <v>128</v>
      </c>
      <c r="H9" s="1">
        <v>355.61</v>
      </c>
      <c r="I9" s="1">
        <v>455.13</v>
      </c>
      <c r="J9" s="5">
        <v>44635</v>
      </c>
      <c r="K9" s="5">
        <v>44835</v>
      </c>
      <c r="L9" s="4">
        <v>200</v>
      </c>
      <c r="M9" s="1">
        <v>45518.080000000002</v>
      </c>
      <c r="N9" s="1">
        <v>58256.639999999999</v>
      </c>
      <c r="O9" s="1">
        <v>12738.56</v>
      </c>
      <c r="P9" s="3">
        <v>27.99</v>
      </c>
      <c r="Q9" s="2" t="s">
        <v>26</v>
      </c>
      <c r="R9" s="1">
        <v>1910.78</v>
      </c>
      <c r="S9" s="1">
        <v>0</v>
      </c>
    </row>
    <row r="10" spans="1:19" ht="18" customHeight="1" x14ac:dyDescent="0.3">
      <c r="A10" s="9" t="s">
        <v>440</v>
      </c>
      <c r="B10" s="7" t="s">
        <v>10</v>
      </c>
      <c r="C10" s="7" t="s">
        <v>9</v>
      </c>
      <c r="D10" s="7" t="s">
        <v>8</v>
      </c>
      <c r="E10" s="7" t="s">
        <v>7</v>
      </c>
      <c r="F10" s="7" t="s">
        <v>1</v>
      </c>
      <c r="G10" s="9">
        <v>126</v>
      </c>
      <c r="H10" s="6">
        <v>2687.95</v>
      </c>
      <c r="I10" s="6">
        <v>2874.39</v>
      </c>
      <c r="J10" s="10">
        <v>44509</v>
      </c>
      <c r="K10" s="10">
        <v>44848</v>
      </c>
      <c r="L10" s="9">
        <v>339</v>
      </c>
      <c r="M10" s="6">
        <v>338681.7</v>
      </c>
      <c r="N10" s="6">
        <v>362173.14</v>
      </c>
      <c r="O10" s="6">
        <v>23491.439999999999</v>
      </c>
      <c r="P10" s="8">
        <v>6.94</v>
      </c>
      <c r="Q10" s="7" t="s">
        <v>26</v>
      </c>
      <c r="R10" s="6">
        <v>3523.72</v>
      </c>
      <c r="S10" s="6">
        <v>0</v>
      </c>
    </row>
    <row r="11" spans="1:19" ht="18" customHeight="1" x14ac:dyDescent="0.3">
      <c r="A11" s="4" t="s">
        <v>439</v>
      </c>
      <c r="B11" s="2" t="s">
        <v>5</v>
      </c>
      <c r="C11" s="2" t="s">
        <v>4</v>
      </c>
      <c r="D11" s="2" t="s">
        <v>3</v>
      </c>
      <c r="E11" s="2" t="s">
        <v>2</v>
      </c>
      <c r="F11" s="2" t="s">
        <v>1</v>
      </c>
      <c r="G11" s="4">
        <v>434</v>
      </c>
      <c r="H11" s="1">
        <v>78.69</v>
      </c>
      <c r="I11" s="1">
        <v>113.57</v>
      </c>
      <c r="J11" s="5">
        <v>44617</v>
      </c>
      <c r="K11" s="5">
        <v>44935</v>
      </c>
      <c r="L11" s="4">
        <v>318</v>
      </c>
      <c r="M11" s="1">
        <v>34151.46</v>
      </c>
      <c r="N11" s="1">
        <v>49289.38</v>
      </c>
      <c r="O11" s="1">
        <v>15137.92</v>
      </c>
      <c r="P11" s="3">
        <v>44.33</v>
      </c>
      <c r="Q11" s="2" t="s">
        <v>26</v>
      </c>
      <c r="R11" s="1">
        <v>2270.69</v>
      </c>
      <c r="S11" s="1">
        <v>0</v>
      </c>
    </row>
    <row r="12" spans="1:19" ht="18" customHeight="1" x14ac:dyDescent="0.3">
      <c r="A12" s="9" t="s">
        <v>438</v>
      </c>
      <c r="B12" s="7" t="s">
        <v>62</v>
      </c>
      <c r="C12" s="7" t="s">
        <v>29</v>
      </c>
      <c r="D12" s="7" t="s">
        <v>61</v>
      </c>
      <c r="E12" s="7" t="s">
        <v>60</v>
      </c>
      <c r="F12" s="7" t="s">
        <v>1</v>
      </c>
      <c r="G12" s="9">
        <v>176</v>
      </c>
      <c r="H12" s="6">
        <v>1299.9100000000001</v>
      </c>
      <c r="I12" s="6">
        <v>1147.52</v>
      </c>
      <c r="J12" s="10">
        <v>44676</v>
      </c>
      <c r="K12" s="10">
        <v>44856</v>
      </c>
      <c r="L12" s="9">
        <v>180</v>
      </c>
      <c r="M12" s="6">
        <v>228784.16</v>
      </c>
      <c r="N12" s="6">
        <v>201963.51999999999</v>
      </c>
      <c r="O12" s="6">
        <v>-26820.639999999999</v>
      </c>
      <c r="P12" s="8">
        <v>-11.72</v>
      </c>
      <c r="Q12" s="7" t="s">
        <v>26</v>
      </c>
      <c r="R12" s="6">
        <v>0</v>
      </c>
      <c r="S12" s="6">
        <v>0</v>
      </c>
    </row>
    <row r="13" spans="1:19" ht="18" customHeight="1" x14ac:dyDescent="0.3">
      <c r="A13" s="4" t="s">
        <v>437</v>
      </c>
      <c r="B13" s="2" t="s">
        <v>58</v>
      </c>
      <c r="C13" s="2" t="s">
        <v>23</v>
      </c>
      <c r="D13" s="2" t="s">
        <v>57</v>
      </c>
      <c r="E13" s="2" t="s">
        <v>56</v>
      </c>
      <c r="F13" s="2" t="s">
        <v>1</v>
      </c>
      <c r="G13" s="4">
        <v>441</v>
      </c>
      <c r="H13" s="1">
        <v>616.13</v>
      </c>
      <c r="I13" s="1">
        <v>602.67999999999995</v>
      </c>
      <c r="J13" s="5">
        <v>44362</v>
      </c>
      <c r="K13" s="5">
        <v>44813</v>
      </c>
      <c r="L13" s="4">
        <v>451</v>
      </c>
      <c r="M13" s="1">
        <v>271713.33</v>
      </c>
      <c r="N13" s="1">
        <v>265781.88</v>
      </c>
      <c r="O13" s="1">
        <v>-5931.45</v>
      </c>
      <c r="P13" s="3">
        <v>-2.1800000000000002</v>
      </c>
      <c r="Q13" s="2" t="s">
        <v>0</v>
      </c>
      <c r="R13" s="1">
        <v>0</v>
      </c>
      <c r="S13" s="1">
        <v>0</v>
      </c>
    </row>
    <row r="14" spans="1:19" ht="18" customHeight="1" x14ac:dyDescent="0.3">
      <c r="A14" s="9" t="s">
        <v>436</v>
      </c>
      <c r="B14" s="7" t="s">
        <v>54</v>
      </c>
      <c r="C14" s="7" t="s">
        <v>19</v>
      </c>
      <c r="D14" s="7" t="s">
        <v>53</v>
      </c>
      <c r="E14" s="7" t="s">
        <v>52</v>
      </c>
      <c r="F14" s="7" t="s">
        <v>1</v>
      </c>
      <c r="G14" s="9">
        <v>117</v>
      </c>
      <c r="H14" s="6">
        <v>1091</v>
      </c>
      <c r="I14" s="6">
        <v>891.53</v>
      </c>
      <c r="J14" s="10">
        <v>44911</v>
      </c>
      <c r="K14" s="10">
        <v>45647</v>
      </c>
      <c r="L14" s="9">
        <v>736</v>
      </c>
      <c r="M14" s="6">
        <v>127647</v>
      </c>
      <c r="N14" s="6">
        <v>104309.01</v>
      </c>
      <c r="O14" s="6">
        <v>-23337.99</v>
      </c>
      <c r="P14" s="8">
        <v>-18.28</v>
      </c>
      <c r="Q14" s="7" t="s">
        <v>0</v>
      </c>
      <c r="R14" s="6">
        <v>0</v>
      </c>
      <c r="S14" s="6">
        <v>0</v>
      </c>
    </row>
    <row r="15" spans="1:19" ht="18" customHeight="1" x14ac:dyDescent="0.3">
      <c r="A15" s="4" t="s">
        <v>435</v>
      </c>
      <c r="B15" s="2" t="s">
        <v>50</v>
      </c>
      <c r="C15" s="2" t="s">
        <v>14</v>
      </c>
      <c r="D15" s="2" t="s">
        <v>49</v>
      </c>
      <c r="E15" s="2" t="s">
        <v>48</v>
      </c>
      <c r="F15" s="2" t="s">
        <v>1</v>
      </c>
      <c r="G15" s="4">
        <v>222</v>
      </c>
      <c r="H15" s="1">
        <v>2898.65</v>
      </c>
      <c r="I15" s="1">
        <v>3557.43</v>
      </c>
      <c r="J15" s="5">
        <v>44955</v>
      </c>
      <c r="K15" s="5">
        <v>45065</v>
      </c>
      <c r="L15" s="4">
        <v>110</v>
      </c>
      <c r="M15" s="1">
        <v>643500.30000000005</v>
      </c>
      <c r="N15" s="1">
        <v>789749.46</v>
      </c>
      <c r="O15" s="1">
        <v>146249.16</v>
      </c>
      <c r="P15" s="3">
        <v>22.73</v>
      </c>
      <c r="Q15" s="2" t="s">
        <v>26</v>
      </c>
      <c r="R15" s="1">
        <v>21937.37</v>
      </c>
      <c r="S15" s="1">
        <v>0</v>
      </c>
    </row>
    <row r="16" spans="1:19" ht="18" customHeight="1" x14ac:dyDescent="0.3">
      <c r="A16" s="9" t="s">
        <v>434</v>
      </c>
      <c r="B16" s="7" t="s">
        <v>46</v>
      </c>
      <c r="C16" s="7" t="s">
        <v>9</v>
      </c>
      <c r="D16" s="7" t="s">
        <v>45</v>
      </c>
      <c r="E16" s="7" t="s">
        <v>44</v>
      </c>
      <c r="F16" s="7" t="s">
        <v>1</v>
      </c>
      <c r="G16" s="9">
        <v>214</v>
      </c>
      <c r="H16" s="6">
        <v>2871.14</v>
      </c>
      <c r="I16" s="6">
        <v>4311.72</v>
      </c>
      <c r="J16" s="10">
        <v>44457</v>
      </c>
      <c r="K16" s="10">
        <v>44515</v>
      </c>
      <c r="L16" s="9">
        <v>58</v>
      </c>
      <c r="M16" s="6">
        <v>614423.96</v>
      </c>
      <c r="N16" s="6">
        <v>922708.08</v>
      </c>
      <c r="O16" s="6">
        <v>308284.12</v>
      </c>
      <c r="P16" s="8">
        <v>50.17</v>
      </c>
      <c r="Q16" s="7" t="s">
        <v>26</v>
      </c>
      <c r="R16" s="6">
        <v>46242.62</v>
      </c>
      <c r="S16" s="6">
        <v>0</v>
      </c>
    </row>
    <row r="17" spans="1:19" ht="18" customHeight="1" x14ac:dyDescent="0.3">
      <c r="A17" s="4" t="s">
        <v>433</v>
      </c>
      <c r="B17" s="2" t="s">
        <v>42</v>
      </c>
      <c r="C17" s="2" t="s">
        <v>4</v>
      </c>
      <c r="D17" s="2" t="s">
        <v>41</v>
      </c>
      <c r="E17" s="2" t="s">
        <v>12</v>
      </c>
      <c r="F17" s="2" t="s">
        <v>1</v>
      </c>
      <c r="G17" s="4">
        <v>427</v>
      </c>
      <c r="H17" s="1">
        <v>2468.13</v>
      </c>
      <c r="I17" s="1">
        <v>2306.69</v>
      </c>
      <c r="J17" s="5">
        <v>44518</v>
      </c>
      <c r="K17" s="5">
        <v>44795</v>
      </c>
      <c r="L17" s="4">
        <v>277</v>
      </c>
      <c r="M17" s="1">
        <v>1053891.51</v>
      </c>
      <c r="N17" s="1">
        <v>984956.63</v>
      </c>
      <c r="O17" s="1">
        <v>-68934.880000000005</v>
      </c>
      <c r="P17" s="3">
        <v>-6.54</v>
      </c>
      <c r="Q17" s="2" t="s">
        <v>26</v>
      </c>
      <c r="R17" s="1">
        <v>0</v>
      </c>
      <c r="S17" s="1">
        <v>0</v>
      </c>
    </row>
    <row r="18" spans="1:19" ht="18" customHeight="1" x14ac:dyDescent="0.3">
      <c r="A18" s="9" t="s">
        <v>432</v>
      </c>
      <c r="B18" s="7" t="s">
        <v>39</v>
      </c>
      <c r="C18" s="7" t="s">
        <v>29</v>
      </c>
      <c r="D18" s="7" t="s">
        <v>38</v>
      </c>
      <c r="E18" s="7" t="s">
        <v>7</v>
      </c>
      <c r="F18" s="7" t="s">
        <v>1</v>
      </c>
      <c r="G18" s="9">
        <v>74</v>
      </c>
      <c r="H18" s="6">
        <v>339.49</v>
      </c>
      <c r="I18" s="6">
        <v>364.18</v>
      </c>
      <c r="J18" s="10">
        <v>44659</v>
      </c>
      <c r="K18" s="10">
        <v>45168</v>
      </c>
      <c r="L18" s="9">
        <v>509</v>
      </c>
      <c r="M18" s="6">
        <v>25122.26</v>
      </c>
      <c r="N18" s="6">
        <v>26949.32</v>
      </c>
      <c r="O18" s="6">
        <v>1827.06</v>
      </c>
      <c r="P18" s="8">
        <v>7.27</v>
      </c>
      <c r="Q18" s="7" t="s">
        <v>0</v>
      </c>
      <c r="R18" s="6">
        <v>0</v>
      </c>
      <c r="S18" s="6">
        <v>0</v>
      </c>
    </row>
    <row r="19" spans="1:19" ht="18" customHeight="1" x14ac:dyDescent="0.3">
      <c r="A19" s="4" t="s">
        <v>431</v>
      </c>
      <c r="B19" s="2" t="s">
        <v>36</v>
      </c>
      <c r="C19" s="2" t="s">
        <v>23</v>
      </c>
      <c r="D19" s="2" t="s">
        <v>35</v>
      </c>
      <c r="E19" s="2" t="s">
        <v>12</v>
      </c>
      <c r="F19" s="2" t="s">
        <v>1</v>
      </c>
      <c r="G19" s="4">
        <v>259</v>
      </c>
      <c r="H19" s="1">
        <v>286.58</v>
      </c>
      <c r="I19" s="1">
        <v>268.23</v>
      </c>
      <c r="J19" s="5">
        <v>44560</v>
      </c>
      <c r="K19" s="5">
        <v>44688</v>
      </c>
      <c r="L19" s="4">
        <v>128</v>
      </c>
      <c r="M19" s="1">
        <v>74224.22</v>
      </c>
      <c r="N19" s="1">
        <v>69471.570000000007</v>
      </c>
      <c r="O19" s="1">
        <v>-4752.6499999999996</v>
      </c>
      <c r="P19" s="3">
        <v>-6.4</v>
      </c>
      <c r="Q19" s="2" t="s">
        <v>26</v>
      </c>
      <c r="R19" s="1">
        <v>0</v>
      </c>
      <c r="S19" s="1">
        <v>0</v>
      </c>
    </row>
    <row r="20" spans="1:19" ht="18" customHeight="1" x14ac:dyDescent="0.3">
      <c r="A20" s="9" t="s">
        <v>430</v>
      </c>
      <c r="B20" s="7" t="s">
        <v>33</v>
      </c>
      <c r="C20" s="7" t="s">
        <v>19</v>
      </c>
      <c r="D20" s="7" t="s">
        <v>32</v>
      </c>
      <c r="E20" s="7" t="s">
        <v>7</v>
      </c>
      <c r="F20" s="7" t="s">
        <v>1</v>
      </c>
      <c r="G20" s="9">
        <v>153</v>
      </c>
      <c r="H20" s="6">
        <v>824.79</v>
      </c>
      <c r="I20" s="6">
        <v>992.41</v>
      </c>
      <c r="J20" s="10">
        <v>44680</v>
      </c>
      <c r="K20" s="10">
        <v>45285</v>
      </c>
      <c r="L20" s="9">
        <v>605</v>
      </c>
      <c r="M20" s="6">
        <v>126192.87</v>
      </c>
      <c r="N20" s="6">
        <v>151838.73000000001</v>
      </c>
      <c r="O20" s="6">
        <v>25645.86</v>
      </c>
      <c r="P20" s="8">
        <v>20.32</v>
      </c>
      <c r="Q20" s="7" t="s">
        <v>0</v>
      </c>
      <c r="R20" s="6">
        <v>0</v>
      </c>
      <c r="S20" s="6">
        <v>0</v>
      </c>
    </row>
    <row r="21" spans="1:19" ht="18" customHeight="1" x14ac:dyDescent="0.3">
      <c r="A21" s="4" t="s">
        <v>429</v>
      </c>
      <c r="B21" s="2" t="s">
        <v>30</v>
      </c>
      <c r="C21" s="2" t="s">
        <v>14</v>
      </c>
      <c r="D21" s="2" t="s">
        <v>28</v>
      </c>
      <c r="E21" s="2" t="s">
        <v>27</v>
      </c>
      <c r="F21" s="2" t="s">
        <v>1</v>
      </c>
      <c r="G21" s="4">
        <v>99</v>
      </c>
      <c r="H21" s="1">
        <v>2242.8000000000002</v>
      </c>
      <c r="I21" s="1">
        <v>1685.26</v>
      </c>
      <c r="J21" s="5">
        <v>44440</v>
      </c>
      <c r="K21" s="5">
        <v>45259</v>
      </c>
      <c r="L21" s="4">
        <v>819</v>
      </c>
      <c r="M21" s="1">
        <v>222037.2</v>
      </c>
      <c r="N21" s="1">
        <v>166840.74</v>
      </c>
      <c r="O21" s="1">
        <v>-55196.46</v>
      </c>
      <c r="P21" s="3">
        <v>-24.86</v>
      </c>
      <c r="Q21" s="2" t="s">
        <v>0</v>
      </c>
      <c r="R21" s="1">
        <v>0</v>
      </c>
      <c r="S21" s="1">
        <v>0</v>
      </c>
    </row>
    <row r="22" spans="1:19" ht="18" customHeight="1" x14ac:dyDescent="0.3">
      <c r="A22" s="9" t="s">
        <v>428</v>
      </c>
      <c r="B22" s="7" t="s">
        <v>24</v>
      </c>
      <c r="C22" s="7" t="s">
        <v>9</v>
      </c>
      <c r="D22" s="7" t="s">
        <v>22</v>
      </c>
      <c r="E22" s="7" t="s">
        <v>7</v>
      </c>
      <c r="F22" s="7" t="s">
        <v>1</v>
      </c>
      <c r="G22" s="9">
        <v>336</v>
      </c>
      <c r="H22" s="6">
        <v>2557.89</v>
      </c>
      <c r="I22" s="6">
        <v>2608.4299999999998</v>
      </c>
      <c r="J22" s="10">
        <v>44625</v>
      </c>
      <c r="K22" s="10">
        <v>44956</v>
      </c>
      <c r="L22" s="9">
        <v>331</v>
      </c>
      <c r="M22" s="6">
        <v>859451.04</v>
      </c>
      <c r="N22" s="6">
        <v>876432.48</v>
      </c>
      <c r="O22" s="6">
        <v>16981.439999999999</v>
      </c>
      <c r="P22" s="8">
        <v>1.98</v>
      </c>
      <c r="Q22" s="7" t="s">
        <v>26</v>
      </c>
      <c r="R22" s="6">
        <v>2547.2199999999998</v>
      </c>
      <c r="S22" s="6">
        <v>0</v>
      </c>
    </row>
    <row r="23" spans="1:19" ht="18" customHeight="1" x14ac:dyDescent="0.3">
      <c r="A23" s="4" t="s">
        <v>427</v>
      </c>
      <c r="B23" s="2" t="s">
        <v>20</v>
      </c>
      <c r="C23" s="2" t="s">
        <v>4</v>
      </c>
      <c r="D23" s="2" t="s">
        <v>18</v>
      </c>
      <c r="E23" s="2" t="s">
        <v>17</v>
      </c>
      <c r="F23" s="2" t="s">
        <v>1</v>
      </c>
      <c r="G23" s="4">
        <v>370</v>
      </c>
      <c r="H23" s="1">
        <v>1268.83</v>
      </c>
      <c r="I23" s="1">
        <v>1917.86</v>
      </c>
      <c r="J23" s="5">
        <v>44200</v>
      </c>
      <c r="K23" s="5">
        <v>44237</v>
      </c>
      <c r="L23" s="4">
        <v>37</v>
      </c>
      <c r="M23" s="1">
        <v>469467.1</v>
      </c>
      <c r="N23" s="1">
        <v>709608.2</v>
      </c>
      <c r="O23" s="1">
        <v>240141.1</v>
      </c>
      <c r="P23" s="3">
        <v>51.15</v>
      </c>
      <c r="Q23" s="2" t="s">
        <v>26</v>
      </c>
      <c r="R23" s="1">
        <v>36021.17</v>
      </c>
      <c r="S23" s="1">
        <v>0</v>
      </c>
    </row>
    <row r="24" spans="1:19" ht="18" customHeight="1" x14ac:dyDescent="0.3">
      <c r="A24" s="9" t="s">
        <v>426</v>
      </c>
      <c r="B24" s="7" t="s">
        <v>15</v>
      </c>
      <c r="C24" s="7" t="s">
        <v>29</v>
      </c>
      <c r="D24" s="7" t="s">
        <v>13</v>
      </c>
      <c r="E24" s="7" t="s">
        <v>12</v>
      </c>
      <c r="F24" s="7" t="s">
        <v>1</v>
      </c>
      <c r="G24" s="9">
        <v>191</v>
      </c>
      <c r="H24" s="6">
        <v>2508.39</v>
      </c>
      <c r="I24" s="6">
        <v>2207.4899999999998</v>
      </c>
      <c r="J24" s="10">
        <v>44532</v>
      </c>
      <c r="K24" s="10">
        <v>45013</v>
      </c>
      <c r="L24" s="9">
        <v>481</v>
      </c>
      <c r="M24" s="6">
        <v>479102.49</v>
      </c>
      <c r="N24" s="6">
        <v>421630.59</v>
      </c>
      <c r="O24" s="6">
        <v>-57471.9</v>
      </c>
      <c r="P24" s="8">
        <v>-12</v>
      </c>
      <c r="Q24" s="7" t="s">
        <v>0</v>
      </c>
      <c r="R24" s="6">
        <v>0</v>
      </c>
      <c r="S24" s="6">
        <v>0</v>
      </c>
    </row>
    <row r="25" spans="1:19" ht="18" customHeight="1" x14ac:dyDescent="0.3">
      <c r="A25" s="4" t="s">
        <v>425</v>
      </c>
      <c r="B25" s="2" t="s">
        <v>10</v>
      </c>
      <c r="C25" s="2" t="s">
        <v>23</v>
      </c>
      <c r="D25" s="2" t="s">
        <v>8</v>
      </c>
      <c r="E25" s="2" t="s">
        <v>7</v>
      </c>
      <c r="F25" s="2" t="s">
        <v>1</v>
      </c>
      <c r="G25" s="4">
        <v>281</v>
      </c>
      <c r="H25" s="1">
        <v>1055.5</v>
      </c>
      <c r="I25" s="1">
        <v>1241.6300000000001</v>
      </c>
      <c r="J25" s="5">
        <v>44471</v>
      </c>
      <c r="K25" s="5">
        <v>45133</v>
      </c>
      <c r="L25" s="4">
        <v>662</v>
      </c>
      <c r="M25" s="1">
        <v>296595.5</v>
      </c>
      <c r="N25" s="1">
        <v>348898.03</v>
      </c>
      <c r="O25" s="1">
        <v>52302.53</v>
      </c>
      <c r="P25" s="3">
        <v>17.63</v>
      </c>
      <c r="Q25" s="2" t="s">
        <v>0</v>
      </c>
      <c r="R25" s="1">
        <v>0</v>
      </c>
      <c r="S25" s="1">
        <v>0</v>
      </c>
    </row>
    <row r="26" spans="1:19" ht="18" customHeight="1" x14ac:dyDescent="0.3">
      <c r="A26" s="9" t="s">
        <v>424</v>
      </c>
      <c r="B26" s="7" t="s">
        <v>5</v>
      </c>
      <c r="C26" s="7" t="s">
        <v>19</v>
      </c>
      <c r="D26" s="7" t="s">
        <v>3</v>
      </c>
      <c r="E26" s="7" t="s">
        <v>2</v>
      </c>
      <c r="F26" s="7" t="s">
        <v>1</v>
      </c>
      <c r="G26" s="9">
        <v>260</v>
      </c>
      <c r="H26" s="6">
        <v>769.69</v>
      </c>
      <c r="I26" s="6">
        <v>1189.5999999999999</v>
      </c>
      <c r="J26" s="10">
        <v>44450</v>
      </c>
      <c r="K26" s="10">
        <v>44639</v>
      </c>
      <c r="L26" s="9">
        <v>189</v>
      </c>
      <c r="M26" s="6">
        <v>200119.4</v>
      </c>
      <c r="N26" s="6">
        <v>309296</v>
      </c>
      <c r="O26" s="6">
        <v>109176.6</v>
      </c>
      <c r="P26" s="8">
        <v>54.56</v>
      </c>
      <c r="Q26" s="7" t="s">
        <v>26</v>
      </c>
      <c r="R26" s="6">
        <v>16376.49</v>
      </c>
      <c r="S26" s="6">
        <v>0</v>
      </c>
    </row>
    <row r="27" spans="1:19" ht="18" customHeight="1" x14ac:dyDescent="0.3">
      <c r="A27" s="4" t="s">
        <v>423</v>
      </c>
      <c r="B27" s="2" t="s">
        <v>62</v>
      </c>
      <c r="C27" s="2" t="s">
        <v>14</v>
      </c>
      <c r="D27" s="2" t="s">
        <v>61</v>
      </c>
      <c r="E27" s="2" t="s">
        <v>60</v>
      </c>
      <c r="F27" s="2" t="s">
        <v>1</v>
      </c>
      <c r="G27" s="4">
        <v>286</v>
      </c>
      <c r="H27" s="1">
        <v>770.06</v>
      </c>
      <c r="I27" s="1">
        <v>1226.3399999999999</v>
      </c>
      <c r="J27" s="5">
        <v>44551</v>
      </c>
      <c r="K27" s="5">
        <v>45008</v>
      </c>
      <c r="L27" s="4">
        <v>457</v>
      </c>
      <c r="M27" s="1">
        <v>220237.16</v>
      </c>
      <c r="N27" s="1">
        <v>350733.24</v>
      </c>
      <c r="O27" s="1">
        <v>130496.08</v>
      </c>
      <c r="P27" s="3">
        <v>59.25</v>
      </c>
      <c r="Q27" s="2" t="s">
        <v>0</v>
      </c>
      <c r="R27" s="1">
        <v>0</v>
      </c>
      <c r="S27" s="1">
        <v>3049.61</v>
      </c>
    </row>
    <row r="28" spans="1:19" ht="18" customHeight="1" x14ac:dyDescent="0.3">
      <c r="A28" s="9" t="s">
        <v>422</v>
      </c>
      <c r="B28" s="7" t="s">
        <v>58</v>
      </c>
      <c r="C28" s="7" t="s">
        <v>9</v>
      </c>
      <c r="D28" s="7" t="s">
        <v>57</v>
      </c>
      <c r="E28" s="7" t="s">
        <v>56</v>
      </c>
      <c r="F28" s="7" t="s">
        <v>1</v>
      </c>
      <c r="G28" s="9">
        <v>307</v>
      </c>
      <c r="H28" s="6">
        <v>2282.54</v>
      </c>
      <c r="I28" s="6">
        <v>1618.82</v>
      </c>
      <c r="J28" s="10">
        <v>44246</v>
      </c>
      <c r="K28" s="10">
        <v>44818</v>
      </c>
      <c r="L28" s="9">
        <v>572</v>
      </c>
      <c r="M28" s="6">
        <v>700739.78</v>
      </c>
      <c r="N28" s="6">
        <v>496977.74</v>
      </c>
      <c r="O28" s="6">
        <v>-203762.04</v>
      </c>
      <c r="P28" s="8">
        <v>-29.08</v>
      </c>
      <c r="Q28" s="7" t="s">
        <v>0</v>
      </c>
      <c r="R28" s="6">
        <v>0</v>
      </c>
      <c r="S28" s="6">
        <v>0</v>
      </c>
    </row>
    <row r="29" spans="1:19" ht="18" customHeight="1" x14ac:dyDescent="0.3">
      <c r="A29" s="4" t="s">
        <v>421</v>
      </c>
      <c r="B29" s="2" t="s">
        <v>54</v>
      </c>
      <c r="C29" s="2" t="s">
        <v>4</v>
      </c>
      <c r="D29" s="2" t="s">
        <v>53</v>
      </c>
      <c r="E29" s="2" t="s">
        <v>52</v>
      </c>
      <c r="F29" s="2" t="s">
        <v>1</v>
      </c>
      <c r="G29" s="4">
        <v>60</v>
      </c>
      <c r="H29" s="1">
        <v>2103.12</v>
      </c>
      <c r="I29" s="1">
        <v>1953.68</v>
      </c>
      <c r="J29" s="5">
        <v>44688</v>
      </c>
      <c r="K29" s="5">
        <v>44905</v>
      </c>
      <c r="L29" s="4">
        <v>217</v>
      </c>
      <c r="M29" s="1">
        <v>126187.2</v>
      </c>
      <c r="N29" s="1">
        <v>117220.8</v>
      </c>
      <c r="O29" s="1">
        <v>-8966.4</v>
      </c>
      <c r="P29" s="3">
        <v>-7.11</v>
      </c>
      <c r="Q29" s="2" t="s">
        <v>26</v>
      </c>
      <c r="R29" s="1">
        <v>0</v>
      </c>
      <c r="S29" s="1">
        <v>0</v>
      </c>
    </row>
    <row r="30" spans="1:19" ht="18" customHeight="1" x14ac:dyDescent="0.3">
      <c r="A30" s="9" t="s">
        <v>420</v>
      </c>
      <c r="B30" s="7" t="s">
        <v>50</v>
      </c>
      <c r="C30" s="7" t="s">
        <v>29</v>
      </c>
      <c r="D30" s="7" t="s">
        <v>49</v>
      </c>
      <c r="E30" s="7" t="s">
        <v>48</v>
      </c>
      <c r="F30" s="7" t="s">
        <v>1</v>
      </c>
      <c r="G30" s="9">
        <v>338</v>
      </c>
      <c r="H30" s="6">
        <v>2357.44</v>
      </c>
      <c r="I30" s="6">
        <v>3667.13</v>
      </c>
      <c r="J30" s="10">
        <v>44629</v>
      </c>
      <c r="K30" s="10">
        <v>44831</v>
      </c>
      <c r="L30" s="9">
        <v>202</v>
      </c>
      <c r="M30" s="6">
        <v>796814.72</v>
      </c>
      <c r="N30" s="6">
        <v>1239489.94</v>
      </c>
      <c r="O30" s="6">
        <v>442675.22</v>
      </c>
      <c r="P30" s="8">
        <v>55.56</v>
      </c>
      <c r="Q30" s="7" t="s">
        <v>26</v>
      </c>
      <c r="R30" s="6">
        <v>66401.279999999999</v>
      </c>
      <c r="S30" s="6">
        <v>0</v>
      </c>
    </row>
    <row r="31" spans="1:19" ht="18" customHeight="1" x14ac:dyDescent="0.3">
      <c r="A31" s="4" t="s">
        <v>419</v>
      </c>
      <c r="B31" s="2" t="s">
        <v>46</v>
      </c>
      <c r="C31" s="2" t="s">
        <v>23</v>
      </c>
      <c r="D31" s="2" t="s">
        <v>45</v>
      </c>
      <c r="E31" s="2" t="s">
        <v>44</v>
      </c>
      <c r="F31" s="2" t="s">
        <v>1</v>
      </c>
      <c r="G31" s="4">
        <v>154</v>
      </c>
      <c r="H31" s="1">
        <v>3064.39</v>
      </c>
      <c r="I31" s="1">
        <v>2712.28</v>
      </c>
      <c r="J31" s="5">
        <v>44723</v>
      </c>
      <c r="K31" s="5">
        <v>44752</v>
      </c>
      <c r="L31" s="4">
        <v>29</v>
      </c>
      <c r="M31" s="1">
        <v>471916.06</v>
      </c>
      <c r="N31" s="1">
        <v>417691.12</v>
      </c>
      <c r="O31" s="1">
        <v>-54224.94</v>
      </c>
      <c r="P31" s="3">
        <v>-11.49</v>
      </c>
      <c r="Q31" s="2" t="s">
        <v>26</v>
      </c>
      <c r="R31" s="1">
        <v>0</v>
      </c>
      <c r="S31" s="1">
        <v>0</v>
      </c>
    </row>
    <row r="32" spans="1:19" ht="18" customHeight="1" x14ac:dyDescent="0.3">
      <c r="A32" s="9" t="s">
        <v>418</v>
      </c>
      <c r="B32" s="7" t="s">
        <v>42</v>
      </c>
      <c r="C32" s="7" t="s">
        <v>19</v>
      </c>
      <c r="D32" s="7" t="s">
        <v>41</v>
      </c>
      <c r="E32" s="7" t="s">
        <v>12</v>
      </c>
      <c r="F32" s="7" t="s">
        <v>1</v>
      </c>
      <c r="G32" s="9">
        <v>374</v>
      </c>
      <c r="H32" s="6">
        <v>2207.09</v>
      </c>
      <c r="I32" s="6">
        <v>2478.44</v>
      </c>
      <c r="J32" s="10">
        <v>44776</v>
      </c>
      <c r="K32" s="10">
        <v>45264</v>
      </c>
      <c r="L32" s="9">
        <v>488</v>
      </c>
      <c r="M32" s="6">
        <v>825451.66</v>
      </c>
      <c r="N32" s="6">
        <v>926936.56</v>
      </c>
      <c r="O32" s="6">
        <v>101484.9</v>
      </c>
      <c r="P32" s="8">
        <v>12.29</v>
      </c>
      <c r="Q32" s="7" t="s">
        <v>0</v>
      </c>
      <c r="R32" s="6">
        <v>0</v>
      </c>
      <c r="S32" s="6">
        <v>148.49</v>
      </c>
    </row>
    <row r="33" spans="1:19" ht="18" customHeight="1" x14ac:dyDescent="0.3">
      <c r="A33" s="4" t="s">
        <v>417</v>
      </c>
      <c r="B33" s="2" t="s">
        <v>39</v>
      </c>
      <c r="C33" s="2" t="s">
        <v>14</v>
      </c>
      <c r="D33" s="2" t="s">
        <v>38</v>
      </c>
      <c r="E33" s="2" t="s">
        <v>7</v>
      </c>
      <c r="F33" s="2" t="s">
        <v>1</v>
      </c>
      <c r="G33" s="4">
        <v>324</v>
      </c>
      <c r="H33" s="1">
        <v>3317.4</v>
      </c>
      <c r="I33" s="1">
        <v>2933.69</v>
      </c>
      <c r="J33" s="5">
        <v>44632</v>
      </c>
      <c r="K33" s="5">
        <v>44659</v>
      </c>
      <c r="L33" s="4">
        <v>27</v>
      </c>
      <c r="M33" s="1">
        <v>1074837.6000000001</v>
      </c>
      <c r="N33" s="1">
        <v>950515.56</v>
      </c>
      <c r="O33" s="1">
        <v>-124322.04</v>
      </c>
      <c r="P33" s="3">
        <v>-11.57</v>
      </c>
      <c r="Q33" s="2" t="s">
        <v>26</v>
      </c>
      <c r="R33" s="1">
        <v>0</v>
      </c>
      <c r="S33" s="1">
        <v>0</v>
      </c>
    </row>
    <row r="34" spans="1:19" ht="18" customHeight="1" x14ac:dyDescent="0.3">
      <c r="A34" s="9" t="s">
        <v>416</v>
      </c>
      <c r="B34" s="7" t="s">
        <v>36</v>
      </c>
      <c r="C34" s="7" t="s">
        <v>9</v>
      </c>
      <c r="D34" s="7" t="s">
        <v>35</v>
      </c>
      <c r="E34" s="7" t="s">
        <v>12</v>
      </c>
      <c r="F34" s="7" t="s">
        <v>1</v>
      </c>
      <c r="G34" s="9">
        <v>195</v>
      </c>
      <c r="H34" s="6">
        <v>1562.74</v>
      </c>
      <c r="I34" s="6">
        <v>1225.0899999999999</v>
      </c>
      <c r="J34" s="10">
        <v>44560</v>
      </c>
      <c r="K34" s="10">
        <v>44998</v>
      </c>
      <c r="L34" s="9">
        <v>438</v>
      </c>
      <c r="M34" s="6">
        <v>304734.3</v>
      </c>
      <c r="N34" s="6">
        <v>238892.55</v>
      </c>
      <c r="O34" s="6">
        <v>-65841.75</v>
      </c>
      <c r="P34" s="8">
        <v>-21.61</v>
      </c>
      <c r="Q34" s="7" t="s">
        <v>0</v>
      </c>
      <c r="R34" s="6">
        <v>0</v>
      </c>
      <c r="S34" s="6">
        <v>0</v>
      </c>
    </row>
    <row r="35" spans="1:19" ht="18" customHeight="1" x14ac:dyDescent="0.3">
      <c r="A35" s="4" t="s">
        <v>415</v>
      </c>
      <c r="B35" s="2" t="s">
        <v>33</v>
      </c>
      <c r="C35" s="2" t="s">
        <v>4</v>
      </c>
      <c r="D35" s="2" t="s">
        <v>32</v>
      </c>
      <c r="E35" s="2" t="s">
        <v>7</v>
      </c>
      <c r="F35" s="2" t="s">
        <v>1</v>
      </c>
      <c r="G35" s="4">
        <v>291</v>
      </c>
      <c r="H35" s="1">
        <v>1410.39</v>
      </c>
      <c r="I35" s="1">
        <v>2089.2199999999998</v>
      </c>
      <c r="J35" s="5">
        <v>44530</v>
      </c>
      <c r="K35" s="5">
        <v>44609</v>
      </c>
      <c r="L35" s="4">
        <v>79</v>
      </c>
      <c r="M35" s="1">
        <v>410423.49</v>
      </c>
      <c r="N35" s="1">
        <v>607963.02</v>
      </c>
      <c r="O35" s="1">
        <v>197539.53</v>
      </c>
      <c r="P35" s="3">
        <v>48.13</v>
      </c>
      <c r="Q35" s="2" t="s">
        <v>26</v>
      </c>
      <c r="R35" s="1">
        <v>29630.93</v>
      </c>
      <c r="S35" s="1">
        <v>0</v>
      </c>
    </row>
    <row r="36" spans="1:19" ht="18" customHeight="1" x14ac:dyDescent="0.3">
      <c r="A36" s="9" t="s">
        <v>414</v>
      </c>
      <c r="B36" s="7" t="s">
        <v>30</v>
      </c>
      <c r="C36" s="7" t="s">
        <v>29</v>
      </c>
      <c r="D36" s="7" t="s">
        <v>28</v>
      </c>
      <c r="E36" s="7" t="s">
        <v>27</v>
      </c>
      <c r="F36" s="7" t="s">
        <v>1</v>
      </c>
      <c r="G36" s="9">
        <v>38</v>
      </c>
      <c r="H36" s="6">
        <v>2941.07</v>
      </c>
      <c r="I36" s="6">
        <v>2419.7199999999998</v>
      </c>
      <c r="J36" s="10">
        <v>44347</v>
      </c>
      <c r="K36" s="10">
        <v>44373</v>
      </c>
      <c r="L36" s="9">
        <v>26</v>
      </c>
      <c r="M36" s="6">
        <v>111760.66</v>
      </c>
      <c r="N36" s="6">
        <v>91949.36</v>
      </c>
      <c r="O36" s="6">
        <v>-19811.3</v>
      </c>
      <c r="P36" s="8">
        <v>-17.73</v>
      </c>
      <c r="Q36" s="7" t="s">
        <v>26</v>
      </c>
      <c r="R36" s="6">
        <v>0</v>
      </c>
      <c r="S36" s="6">
        <v>0</v>
      </c>
    </row>
    <row r="37" spans="1:19" ht="18" customHeight="1" x14ac:dyDescent="0.3">
      <c r="A37" s="4" t="s">
        <v>413</v>
      </c>
      <c r="B37" s="2" t="s">
        <v>24</v>
      </c>
      <c r="C37" s="2" t="s">
        <v>23</v>
      </c>
      <c r="D37" s="2" t="s">
        <v>22</v>
      </c>
      <c r="E37" s="2" t="s">
        <v>7</v>
      </c>
      <c r="F37" s="2" t="s">
        <v>1</v>
      </c>
      <c r="G37" s="4">
        <v>56</v>
      </c>
      <c r="H37" s="1">
        <v>2653.49</v>
      </c>
      <c r="I37" s="1">
        <v>3591.18</v>
      </c>
      <c r="J37" s="5">
        <v>44867</v>
      </c>
      <c r="K37" s="5">
        <v>45677</v>
      </c>
      <c r="L37" s="4">
        <v>810</v>
      </c>
      <c r="M37" s="1">
        <v>148595.44</v>
      </c>
      <c r="N37" s="1">
        <v>201106.08</v>
      </c>
      <c r="O37" s="1">
        <v>52510.64</v>
      </c>
      <c r="P37" s="3">
        <v>35.340000000000003</v>
      </c>
      <c r="Q37" s="2" t="s">
        <v>0</v>
      </c>
      <c r="R37" s="1">
        <v>0</v>
      </c>
      <c r="S37" s="1">
        <v>0</v>
      </c>
    </row>
    <row r="38" spans="1:19" ht="18" customHeight="1" x14ac:dyDescent="0.3">
      <c r="A38" s="9" t="s">
        <v>412</v>
      </c>
      <c r="B38" s="7" t="s">
        <v>20</v>
      </c>
      <c r="C38" s="7" t="s">
        <v>19</v>
      </c>
      <c r="D38" s="7" t="s">
        <v>18</v>
      </c>
      <c r="E38" s="7" t="s">
        <v>17</v>
      </c>
      <c r="F38" s="7" t="s">
        <v>1</v>
      </c>
      <c r="G38" s="9">
        <v>429</v>
      </c>
      <c r="H38" s="6">
        <v>2512.42</v>
      </c>
      <c r="I38" s="6">
        <v>3436.96</v>
      </c>
      <c r="J38" s="10">
        <v>44916</v>
      </c>
      <c r="K38" s="10">
        <v>45289</v>
      </c>
      <c r="L38" s="9">
        <v>373</v>
      </c>
      <c r="M38" s="6">
        <v>1077828.18</v>
      </c>
      <c r="N38" s="6">
        <v>1474455.84</v>
      </c>
      <c r="O38" s="6">
        <v>396627.66</v>
      </c>
      <c r="P38" s="8">
        <v>36.799999999999997</v>
      </c>
      <c r="Q38" s="7" t="s">
        <v>0</v>
      </c>
      <c r="R38" s="6">
        <v>0</v>
      </c>
      <c r="S38" s="6">
        <v>29662.77</v>
      </c>
    </row>
    <row r="39" spans="1:19" ht="18" customHeight="1" x14ac:dyDescent="0.3">
      <c r="A39" s="4" t="s">
        <v>411</v>
      </c>
      <c r="B39" s="2" t="s">
        <v>15</v>
      </c>
      <c r="C39" s="2" t="s">
        <v>14</v>
      </c>
      <c r="D39" s="2" t="s">
        <v>13</v>
      </c>
      <c r="E39" s="2" t="s">
        <v>12</v>
      </c>
      <c r="F39" s="2" t="s">
        <v>1</v>
      </c>
      <c r="G39" s="4">
        <v>34</v>
      </c>
      <c r="H39" s="1">
        <v>3013.58</v>
      </c>
      <c r="I39" s="1">
        <v>4817.83</v>
      </c>
      <c r="J39" s="5">
        <v>44764</v>
      </c>
      <c r="K39" s="5">
        <v>44836</v>
      </c>
      <c r="L39" s="4">
        <v>72</v>
      </c>
      <c r="M39" s="1">
        <v>102461.72</v>
      </c>
      <c r="N39" s="1">
        <v>163806.22</v>
      </c>
      <c r="O39" s="1">
        <v>61344.5</v>
      </c>
      <c r="P39" s="3">
        <v>59.87</v>
      </c>
      <c r="Q39" s="2" t="s">
        <v>26</v>
      </c>
      <c r="R39" s="1">
        <v>9201.67</v>
      </c>
      <c r="S39" s="1">
        <v>0</v>
      </c>
    </row>
    <row r="40" spans="1:19" ht="18" customHeight="1" x14ac:dyDescent="0.3">
      <c r="A40" s="9" t="s">
        <v>410</v>
      </c>
      <c r="B40" s="7" t="s">
        <v>10</v>
      </c>
      <c r="C40" s="7" t="s">
        <v>9</v>
      </c>
      <c r="D40" s="7" t="s">
        <v>8</v>
      </c>
      <c r="E40" s="7" t="s">
        <v>7</v>
      </c>
      <c r="F40" s="7" t="s">
        <v>1</v>
      </c>
      <c r="G40" s="9">
        <v>225</v>
      </c>
      <c r="H40" s="6">
        <v>1914.15</v>
      </c>
      <c r="I40" s="6">
        <v>1756.9</v>
      </c>
      <c r="J40" s="10">
        <v>44219</v>
      </c>
      <c r="K40" s="10">
        <v>44737</v>
      </c>
      <c r="L40" s="9">
        <v>518</v>
      </c>
      <c r="M40" s="6">
        <v>430683.75</v>
      </c>
      <c r="N40" s="6">
        <v>395302.5</v>
      </c>
      <c r="O40" s="6">
        <v>-35381.25</v>
      </c>
      <c r="P40" s="8">
        <v>-8.2200000000000006</v>
      </c>
      <c r="Q40" s="7" t="s">
        <v>0</v>
      </c>
      <c r="R40" s="6">
        <v>0</v>
      </c>
      <c r="S40" s="6">
        <v>0</v>
      </c>
    </row>
    <row r="41" spans="1:19" ht="18" customHeight="1" x14ac:dyDescent="0.3">
      <c r="A41" s="4" t="s">
        <v>409</v>
      </c>
      <c r="B41" s="2" t="s">
        <v>5</v>
      </c>
      <c r="C41" s="2" t="s">
        <v>4</v>
      </c>
      <c r="D41" s="2" t="s">
        <v>3</v>
      </c>
      <c r="E41" s="2" t="s">
        <v>2</v>
      </c>
      <c r="F41" s="2" t="s">
        <v>1</v>
      </c>
      <c r="G41" s="4">
        <v>238</v>
      </c>
      <c r="H41" s="1">
        <v>330.69</v>
      </c>
      <c r="I41" s="1">
        <v>337.34</v>
      </c>
      <c r="J41" s="5">
        <v>44893</v>
      </c>
      <c r="K41" s="5">
        <v>45731</v>
      </c>
      <c r="L41" s="4">
        <v>838</v>
      </c>
      <c r="M41" s="1">
        <v>78704.22</v>
      </c>
      <c r="N41" s="1">
        <v>80286.92</v>
      </c>
      <c r="O41" s="1">
        <v>1582.7</v>
      </c>
      <c r="P41" s="3">
        <v>2.0099999999999998</v>
      </c>
      <c r="Q41" s="2" t="s">
        <v>0</v>
      </c>
      <c r="R41" s="1">
        <v>0</v>
      </c>
      <c r="S41" s="1">
        <v>0</v>
      </c>
    </row>
    <row r="42" spans="1:19" ht="18" customHeight="1" x14ac:dyDescent="0.3">
      <c r="A42" s="9" t="s">
        <v>408</v>
      </c>
      <c r="B42" s="7" t="s">
        <v>62</v>
      </c>
      <c r="C42" s="7" t="s">
        <v>29</v>
      </c>
      <c r="D42" s="7" t="s">
        <v>61</v>
      </c>
      <c r="E42" s="7" t="s">
        <v>60</v>
      </c>
      <c r="F42" s="7" t="s">
        <v>1</v>
      </c>
      <c r="G42" s="9">
        <v>17</v>
      </c>
      <c r="H42" s="6">
        <v>2877.12</v>
      </c>
      <c r="I42" s="6">
        <v>3315.21</v>
      </c>
      <c r="J42" s="10">
        <v>45000</v>
      </c>
      <c r="K42" s="10">
        <v>45733</v>
      </c>
      <c r="L42" s="9">
        <v>733</v>
      </c>
      <c r="M42" s="6">
        <v>48911.040000000001</v>
      </c>
      <c r="N42" s="6">
        <v>56358.57</v>
      </c>
      <c r="O42" s="6">
        <v>7447.53</v>
      </c>
      <c r="P42" s="8">
        <v>15.23</v>
      </c>
      <c r="Q42" s="7" t="s">
        <v>0</v>
      </c>
      <c r="R42" s="6">
        <v>0</v>
      </c>
      <c r="S42" s="6">
        <v>0</v>
      </c>
    </row>
    <row r="43" spans="1:19" ht="18" customHeight="1" x14ac:dyDescent="0.3">
      <c r="A43" s="4" t="s">
        <v>407</v>
      </c>
      <c r="B43" s="2" t="s">
        <v>58</v>
      </c>
      <c r="C43" s="2" t="s">
        <v>23</v>
      </c>
      <c r="D43" s="2" t="s">
        <v>57</v>
      </c>
      <c r="E43" s="2" t="s">
        <v>56</v>
      </c>
      <c r="F43" s="2" t="s">
        <v>1</v>
      </c>
      <c r="G43" s="4">
        <v>124</v>
      </c>
      <c r="H43" s="1">
        <v>948.5</v>
      </c>
      <c r="I43" s="1">
        <v>779.9</v>
      </c>
      <c r="J43" s="5">
        <v>44782</v>
      </c>
      <c r="K43" s="5">
        <v>45552</v>
      </c>
      <c r="L43" s="4">
        <v>770</v>
      </c>
      <c r="M43" s="1">
        <v>117614</v>
      </c>
      <c r="N43" s="1">
        <v>96707.6</v>
      </c>
      <c r="O43" s="1">
        <v>-20906.400000000001</v>
      </c>
      <c r="P43" s="3">
        <v>-17.78</v>
      </c>
      <c r="Q43" s="2" t="s">
        <v>0</v>
      </c>
      <c r="R43" s="1">
        <v>0</v>
      </c>
      <c r="S43" s="1">
        <v>0</v>
      </c>
    </row>
    <row r="44" spans="1:19" ht="18" customHeight="1" x14ac:dyDescent="0.3">
      <c r="A44" s="9" t="s">
        <v>406</v>
      </c>
      <c r="B44" s="7" t="s">
        <v>54</v>
      </c>
      <c r="C44" s="7" t="s">
        <v>19</v>
      </c>
      <c r="D44" s="7" t="s">
        <v>53</v>
      </c>
      <c r="E44" s="7" t="s">
        <v>52</v>
      </c>
      <c r="F44" s="7" t="s">
        <v>1</v>
      </c>
      <c r="G44" s="9">
        <v>324</v>
      </c>
      <c r="H44" s="6">
        <v>2465.64</v>
      </c>
      <c r="I44" s="6">
        <v>2922.82</v>
      </c>
      <c r="J44" s="10">
        <v>44886</v>
      </c>
      <c r="K44" s="10">
        <v>45399</v>
      </c>
      <c r="L44" s="9">
        <v>513</v>
      </c>
      <c r="M44" s="6">
        <v>798867.36</v>
      </c>
      <c r="N44" s="6">
        <v>946993.68</v>
      </c>
      <c r="O44" s="6">
        <v>148126.32</v>
      </c>
      <c r="P44" s="8">
        <v>18.54</v>
      </c>
      <c r="Q44" s="7" t="s">
        <v>0</v>
      </c>
      <c r="R44" s="6">
        <v>0</v>
      </c>
      <c r="S44" s="6">
        <v>4812.63</v>
      </c>
    </row>
    <row r="45" spans="1:19" ht="18" customHeight="1" x14ac:dyDescent="0.3">
      <c r="A45" s="4" t="s">
        <v>405</v>
      </c>
      <c r="B45" s="2" t="s">
        <v>50</v>
      </c>
      <c r="C45" s="2" t="s">
        <v>14</v>
      </c>
      <c r="D45" s="2" t="s">
        <v>49</v>
      </c>
      <c r="E45" s="2" t="s">
        <v>48</v>
      </c>
      <c r="F45" s="2" t="s">
        <v>1</v>
      </c>
      <c r="G45" s="4">
        <v>342</v>
      </c>
      <c r="H45" s="1">
        <v>972.5</v>
      </c>
      <c r="I45" s="1">
        <v>1285.56</v>
      </c>
      <c r="J45" s="5">
        <v>44603</v>
      </c>
      <c r="K45" s="5">
        <v>45089</v>
      </c>
      <c r="L45" s="4">
        <v>486</v>
      </c>
      <c r="M45" s="1">
        <v>332595</v>
      </c>
      <c r="N45" s="1">
        <v>439661.52</v>
      </c>
      <c r="O45" s="1">
        <v>107066.52</v>
      </c>
      <c r="P45" s="3">
        <v>32.19</v>
      </c>
      <c r="Q45" s="2" t="s">
        <v>0</v>
      </c>
      <c r="R45" s="1">
        <v>0</v>
      </c>
      <c r="S45" s="1">
        <v>706.65</v>
      </c>
    </row>
    <row r="46" spans="1:19" ht="18" customHeight="1" x14ac:dyDescent="0.3">
      <c r="A46" s="9" t="s">
        <v>404</v>
      </c>
      <c r="B46" s="7" t="s">
        <v>46</v>
      </c>
      <c r="C46" s="7" t="s">
        <v>9</v>
      </c>
      <c r="D46" s="7" t="s">
        <v>45</v>
      </c>
      <c r="E46" s="7" t="s">
        <v>44</v>
      </c>
      <c r="F46" s="7" t="s">
        <v>1</v>
      </c>
      <c r="G46" s="9">
        <v>292</v>
      </c>
      <c r="H46" s="6">
        <v>127.58</v>
      </c>
      <c r="I46" s="6">
        <v>199.97</v>
      </c>
      <c r="J46" s="10">
        <v>44726</v>
      </c>
      <c r="K46" s="10">
        <v>45342</v>
      </c>
      <c r="L46" s="9">
        <v>616</v>
      </c>
      <c r="M46" s="6">
        <v>37253.360000000001</v>
      </c>
      <c r="N46" s="6">
        <v>58391.24</v>
      </c>
      <c r="O46" s="6">
        <v>21137.88</v>
      </c>
      <c r="P46" s="8">
        <v>56.74</v>
      </c>
      <c r="Q46" s="7" t="s">
        <v>0</v>
      </c>
      <c r="R46" s="6">
        <v>0</v>
      </c>
      <c r="S46" s="6">
        <v>0</v>
      </c>
    </row>
    <row r="47" spans="1:19" ht="18" customHeight="1" x14ac:dyDescent="0.3">
      <c r="A47" s="4" t="s">
        <v>403</v>
      </c>
      <c r="B47" s="2" t="s">
        <v>42</v>
      </c>
      <c r="C47" s="2" t="s">
        <v>4</v>
      </c>
      <c r="D47" s="2" t="s">
        <v>41</v>
      </c>
      <c r="E47" s="2" t="s">
        <v>12</v>
      </c>
      <c r="F47" s="2" t="s">
        <v>1</v>
      </c>
      <c r="G47" s="4">
        <v>64</v>
      </c>
      <c r="H47" s="1">
        <v>2398.36</v>
      </c>
      <c r="I47" s="1">
        <v>1765.82</v>
      </c>
      <c r="J47" s="5">
        <v>45038</v>
      </c>
      <c r="K47" s="5">
        <v>45754</v>
      </c>
      <c r="L47" s="4">
        <v>716</v>
      </c>
      <c r="M47" s="1">
        <v>153495.04000000001</v>
      </c>
      <c r="N47" s="1">
        <v>113012.48</v>
      </c>
      <c r="O47" s="1">
        <v>-40482.559999999998</v>
      </c>
      <c r="P47" s="3">
        <v>-26.37</v>
      </c>
      <c r="Q47" s="2" t="s">
        <v>0</v>
      </c>
      <c r="R47" s="1">
        <v>0</v>
      </c>
      <c r="S47" s="1">
        <v>0</v>
      </c>
    </row>
    <row r="48" spans="1:19" ht="18" customHeight="1" x14ac:dyDescent="0.3">
      <c r="A48" s="9" t="s">
        <v>402</v>
      </c>
      <c r="B48" s="7" t="s">
        <v>39</v>
      </c>
      <c r="C48" s="7" t="s">
        <v>29</v>
      </c>
      <c r="D48" s="7" t="s">
        <v>38</v>
      </c>
      <c r="E48" s="7" t="s">
        <v>7</v>
      </c>
      <c r="F48" s="7" t="s">
        <v>1</v>
      </c>
      <c r="G48" s="9">
        <v>164</v>
      </c>
      <c r="H48" s="6">
        <v>298.20999999999998</v>
      </c>
      <c r="I48" s="6">
        <v>454.24</v>
      </c>
      <c r="J48" s="10">
        <v>45083</v>
      </c>
      <c r="K48" s="10">
        <v>45750</v>
      </c>
      <c r="L48" s="9">
        <v>667</v>
      </c>
      <c r="M48" s="6">
        <v>48906.44</v>
      </c>
      <c r="N48" s="6">
        <v>74495.360000000001</v>
      </c>
      <c r="O48" s="6">
        <v>25588.92</v>
      </c>
      <c r="P48" s="8">
        <v>52.32</v>
      </c>
      <c r="Q48" s="7" t="s">
        <v>0</v>
      </c>
      <c r="R48" s="6">
        <v>0</v>
      </c>
      <c r="S48" s="6">
        <v>0</v>
      </c>
    </row>
    <row r="49" spans="1:19" ht="18" customHeight="1" x14ac:dyDescent="0.3">
      <c r="A49" s="4" t="s">
        <v>401</v>
      </c>
      <c r="B49" s="2" t="s">
        <v>36</v>
      </c>
      <c r="C49" s="2" t="s">
        <v>23</v>
      </c>
      <c r="D49" s="2" t="s">
        <v>35</v>
      </c>
      <c r="E49" s="2" t="s">
        <v>12</v>
      </c>
      <c r="F49" s="2" t="s">
        <v>1</v>
      </c>
      <c r="G49" s="4">
        <v>470</v>
      </c>
      <c r="H49" s="1">
        <v>369.37</v>
      </c>
      <c r="I49" s="1">
        <v>562.97</v>
      </c>
      <c r="J49" s="5">
        <v>44995</v>
      </c>
      <c r="K49" s="5">
        <v>45453</v>
      </c>
      <c r="L49" s="4">
        <v>458</v>
      </c>
      <c r="M49" s="1">
        <v>173603.9</v>
      </c>
      <c r="N49" s="1">
        <v>264595.90000000002</v>
      </c>
      <c r="O49" s="1">
        <v>90992</v>
      </c>
      <c r="P49" s="3">
        <v>52.41</v>
      </c>
      <c r="Q49" s="2" t="s">
        <v>0</v>
      </c>
      <c r="R49" s="1">
        <v>0</v>
      </c>
      <c r="S49" s="1">
        <v>0</v>
      </c>
    </row>
    <row r="50" spans="1:19" ht="18" customHeight="1" x14ac:dyDescent="0.3">
      <c r="A50" s="9" t="s">
        <v>400</v>
      </c>
      <c r="B50" s="7" t="s">
        <v>33</v>
      </c>
      <c r="C50" s="7" t="s">
        <v>19</v>
      </c>
      <c r="D50" s="7" t="s">
        <v>32</v>
      </c>
      <c r="E50" s="7" t="s">
        <v>7</v>
      </c>
      <c r="F50" s="7" t="s">
        <v>1</v>
      </c>
      <c r="G50" s="9">
        <v>140</v>
      </c>
      <c r="H50" s="6">
        <v>145.44999999999999</v>
      </c>
      <c r="I50" s="6">
        <v>231.41</v>
      </c>
      <c r="J50" s="10">
        <v>44587</v>
      </c>
      <c r="K50" s="10">
        <v>44652</v>
      </c>
      <c r="L50" s="9">
        <v>65</v>
      </c>
      <c r="M50" s="6">
        <v>20363</v>
      </c>
      <c r="N50" s="6">
        <v>32397.4</v>
      </c>
      <c r="O50" s="6">
        <v>12034.4</v>
      </c>
      <c r="P50" s="8">
        <v>59.1</v>
      </c>
      <c r="Q50" s="7" t="s">
        <v>26</v>
      </c>
      <c r="R50" s="6">
        <v>1805.16</v>
      </c>
      <c r="S50" s="6">
        <v>0</v>
      </c>
    </row>
    <row r="51" spans="1:19" ht="18" customHeight="1" x14ac:dyDescent="0.3">
      <c r="A51" s="4" t="s">
        <v>399</v>
      </c>
      <c r="B51" s="2" t="s">
        <v>30</v>
      </c>
      <c r="C51" s="2" t="s">
        <v>14</v>
      </c>
      <c r="D51" s="2" t="s">
        <v>28</v>
      </c>
      <c r="E51" s="2" t="s">
        <v>27</v>
      </c>
      <c r="F51" s="2" t="s">
        <v>1</v>
      </c>
      <c r="G51" s="4">
        <v>415</v>
      </c>
      <c r="H51" s="1">
        <v>1939.4</v>
      </c>
      <c r="I51" s="1">
        <v>2763.75</v>
      </c>
      <c r="J51" s="5">
        <v>44602</v>
      </c>
      <c r="K51" s="5">
        <v>44637</v>
      </c>
      <c r="L51" s="4">
        <v>35</v>
      </c>
      <c r="M51" s="1">
        <v>804851</v>
      </c>
      <c r="N51" s="1">
        <v>1146956.25</v>
      </c>
      <c r="O51" s="1">
        <v>342105.25</v>
      </c>
      <c r="P51" s="3">
        <v>42.51</v>
      </c>
      <c r="Q51" s="2" t="s">
        <v>26</v>
      </c>
      <c r="R51" s="1">
        <v>51315.79</v>
      </c>
      <c r="S51" s="1">
        <v>0</v>
      </c>
    </row>
    <row r="52" spans="1:19" ht="18" customHeight="1" x14ac:dyDescent="0.3">
      <c r="A52" s="9" t="s">
        <v>398</v>
      </c>
      <c r="B52" s="7" t="s">
        <v>24</v>
      </c>
      <c r="C52" s="7" t="s">
        <v>9</v>
      </c>
      <c r="D52" s="7" t="s">
        <v>22</v>
      </c>
      <c r="E52" s="7" t="s">
        <v>7</v>
      </c>
      <c r="F52" s="7" t="s">
        <v>1</v>
      </c>
      <c r="G52" s="9">
        <v>180</v>
      </c>
      <c r="H52" s="6">
        <v>2816.74</v>
      </c>
      <c r="I52" s="6">
        <v>3856.53</v>
      </c>
      <c r="J52" s="10">
        <v>44270</v>
      </c>
      <c r="K52" s="10">
        <v>44334</v>
      </c>
      <c r="L52" s="9">
        <v>64</v>
      </c>
      <c r="M52" s="6">
        <v>507013.2</v>
      </c>
      <c r="N52" s="6">
        <v>694175.4</v>
      </c>
      <c r="O52" s="6">
        <v>187162.2</v>
      </c>
      <c r="P52" s="8">
        <v>36.909999999999997</v>
      </c>
      <c r="Q52" s="7" t="s">
        <v>26</v>
      </c>
      <c r="R52" s="6">
        <v>28074.33</v>
      </c>
      <c r="S52" s="6">
        <v>0</v>
      </c>
    </row>
    <row r="53" spans="1:19" ht="18" customHeight="1" x14ac:dyDescent="0.3">
      <c r="A53" s="4" t="s">
        <v>397</v>
      </c>
      <c r="B53" s="2" t="s">
        <v>20</v>
      </c>
      <c r="C53" s="2" t="s">
        <v>4</v>
      </c>
      <c r="D53" s="2" t="s">
        <v>18</v>
      </c>
      <c r="E53" s="2" t="s">
        <v>17</v>
      </c>
      <c r="F53" s="2" t="s">
        <v>1</v>
      </c>
      <c r="G53" s="4">
        <v>43</v>
      </c>
      <c r="H53" s="1">
        <v>1997.08</v>
      </c>
      <c r="I53" s="1">
        <v>2869.23</v>
      </c>
      <c r="J53" s="5">
        <v>44783</v>
      </c>
      <c r="K53" s="5">
        <v>44890</v>
      </c>
      <c r="L53" s="4">
        <v>107</v>
      </c>
      <c r="M53" s="1">
        <v>85874.44</v>
      </c>
      <c r="N53" s="1">
        <v>123376.89</v>
      </c>
      <c r="O53" s="1">
        <v>37502.449999999997</v>
      </c>
      <c r="P53" s="3">
        <v>43.67</v>
      </c>
      <c r="Q53" s="2" t="s">
        <v>26</v>
      </c>
      <c r="R53" s="1">
        <v>5625.37</v>
      </c>
      <c r="S53" s="1">
        <v>0</v>
      </c>
    </row>
    <row r="54" spans="1:19" ht="18" customHeight="1" x14ac:dyDescent="0.3">
      <c r="A54" s="9" t="s">
        <v>396</v>
      </c>
      <c r="B54" s="7" t="s">
        <v>15</v>
      </c>
      <c r="C54" s="7" t="s">
        <v>29</v>
      </c>
      <c r="D54" s="7" t="s">
        <v>13</v>
      </c>
      <c r="E54" s="7" t="s">
        <v>12</v>
      </c>
      <c r="F54" s="7" t="s">
        <v>1</v>
      </c>
      <c r="G54" s="9">
        <v>252</v>
      </c>
      <c r="H54" s="6">
        <v>1095.56</v>
      </c>
      <c r="I54" s="6">
        <v>1572.57</v>
      </c>
      <c r="J54" s="10">
        <v>44495</v>
      </c>
      <c r="K54" s="10">
        <v>44714</v>
      </c>
      <c r="L54" s="9">
        <v>219</v>
      </c>
      <c r="M54" s="6">
        <v>276081.12</v>
      </c>
      <c r="N54" s="6">
        <v>396287.64</v>
      </c>
      <c r="O54" s="6">
        <v>120206.52</v>
      </c>
      <c r="P54" s="8">
        <v>43.54</v>
      </c>
      <c r="Q54" s="7" t="s">
        <v>26</v>
      </c>
      <c r="R54" s="6">
        <v>18030.98</v>
      </c>
      <c r="S54" s="6">
        <v>0</v>
      </c>
    </row>
    <row r="55" spans="1:19" ht="18" customHeight="1" x14ac:dyDescent="0.3">
      <c r="A55" s="4" t="s">
        <v>395</v>
      </c>
      <c r="B55" s="2" t="s">
        <v>10</v>
      </c>
      <c r="C55" s="2" t="s">
        <v>23</v>
      </c>
      <c r="D55" s="2" t="s">
        <v>8</v>
      </c>
      <c r="E55" s="2" t="s">
        <v>7</v>
      </c>
      <c r="F55" s="2" t="s">
        <v>1</v>
      </c>
      <c r="G55" s="4">
        <v>403</v>
      </c>
      <c r="H55" s="1">
        <v>3206.34</v>
      </c>
      <c r="I55" s="1">
        <v>4945.66</v>
      </c>
      <c r="J55" s="5">
        <v>44836</v>
      </c>
      <c r="K55" s="5">
        <v>45241</v>
      </c>
      <c r="L55" s="4">
        <v>405</v>
      </c>
      <c r="M55" s="1">
        <v>1292155.02</v>
      </c>
      <c r="N55" s="1">
        <v>1993100.98</v>
      </c>
      <c r="O55" s="1">
        <v>700945.96</v>
      </c>
      <c r="P55" s="3">
        <v>54.25</v>
      </c>
      <c r="Q55" s="2" t="s">
        <v>0</v>
      </c>
      <c r="R55" s="1">
        <v>0</v>
      </c>
      <c r="S55" s="1">
        <v>60094.6</v>
      </c>
    </row>
    <row r="56" spans="1:19" ht="18" customHeight="1" x14ac:dyDescent="0.3">
      <c r="A56" s="9" t="s">
        <v>394</v>
      </c>
      <c r="B56" s="7" t="s">
        <v>5</v>
      </c>
      <c r="C56" s="7" t="s">
        <v>19</v>
      </c>
      <c r="D56" s="7" t="s">
        <v>3</v>
      </c>
      <c r="E56" s="7" t="s">
        <v>2</v>
      </c>
      <c r="F56" s="7" t="s">
        <v>1</v>
      </c>
      <c r="G56" s="9">
        <v>382</v>
      </c>
      <c r="H56" s="6">
        <v>144.77000000000001</v>
      </c>
      <c r="I56" s="6">
        <v>125.69</v>
      </c>
      <c r="J56" s="10">
        <v>44541</v>
      </c>
      <c r="K56" s="10">
        <v>45036</v>
      </c>
      <c r="L56" s="9">
        <v>495</v>
      </c>
      <c r="M56" s="6">
        <v>55302.14</v>
      </c>
      <c r="N56" s="6">
        <v>48013.58</v>
      </c>
      <c r="O56" s="6">
        <v>-7288.56</v>
      </c>
      <c r="P56" s="8">
        <v>-13.18</v>
      </c>
      <c r="Q56" s="7" t="s">
        <v>0</v>
      </c>
      <c r="R56" s="6">
        <v>0</v>
      </c>
      <c r="S56" s="6">
        <v>0</v>
      </c>
    </row>
    <row r="57" spans="1:19" ht="18" customHeight="1" x14ac:dyDescent="0.3">
      <c r="A57" s="4" t="s">
        <v>393</v>
      </c>
      <c r="B57" s="2" t="s">
        <v>62</v>
      </c>
      <c r="C57" s="2" t="s">
        <v>14</v>
      </c>
      <c r="D57" s="2" t="s">
        <v>61</v>
      </c>
      <c r="E57" s="2" t="s">
        <v>60</v>
      </c>
      <c r="F57" s="2" t="s">
        <v>1</v>
      </c>
      <c r="G57" s="4">
        <v>385</v>
      </c>
      <c r="H57" s="1">
        <v>1250.5899999999999</v>
      </c>
      <c r="I57" s="1">
        <v>909.5</v>
      </c>
      <c r="J57" s="5">
        <v>44332</v>
      </c>
      <c r="K57" s="5">
        <v>44603</v>
      </c>
      <c r="L57" s="4">
        <v>271</v>
      </c>
      <c r="M57" s="1">
        <v>481477.15</v>
      </c>
      <c r="N57" s="1">
        <v>350157.5</v>
      </c>
      <c r="O57" s="1">
        <v>-131319.65</v>
      </c>
      <c r="P57" s="3">
        <v>-27.27</v>
      </c>
      <c r="Q57" s="2" t="s">
        <v>26</v>
      </c>
      <c r="R57" s="1">
        <v>0</v>
      </c>
      <c r="S57" s="1">
        <v>0</v>
      </c>
    </row>
    <row r="58" spans="1:19" ht="18" customHeight="1" x14ac:dyDescent="0.3">
      <c r="A58" s="9" t="s">
        <v>392</v>
      </c>
      <c r="B58" s="7" t="s">
        <v>58</v>
      </c>
      <c r="C58" s="7" t="s">
        <v>9</v>
      </c>
      <c r="D58" s="7" t="s">
        <v>57</v>
      </c>
      <c r="E58" s="7" t="s">
        <v>56</v>
      </c>
      <c r="F58" s="7" t="s">
        <v>1</v>
      </c>
      <c r="G58" s="9">
        <v>380</v>
      </c>
      <c r="H58" s="6">
        <v>1678.47</v>
      </c>
      <c r="I58" s="6">
        <v>1974.63</v>
      </c>
      <c r="J58" s="10">
        <v>44538</v>
      </c>
      <c r="K58" s="10">
        <v>45227</v>
      </c>
      <c r="L58" s="9">
        <v>689</v>
      </c>
      <c r="M58" s="6">
        <v>637818.6</v>
      </c>
      <c r="N58" s="6">
        <v>750359.4</v>
      </c>
      <c r="O58" s="6">
        <v>112540.8</v>
      </c>
      <c r="P58" s="8">
        <v>17.64</v>
      </c>
      <c r="Q58" s="7" t="s">
        <v>0</v>
      </c>
      <c r="R58" s="6">
        <v>0</v>
      </c>
      <c r="S58" s="6">
        <v>1254.08</v>
      </c>
    </row>
    <row r="59" spans="1:19" ht="18" customHeight="1" x14ac:dyDescent="0.3">
      <c r="A59" s="4" t="s">
        <v>391</v>
      </c>
      <c r="B59" s="2" t="s">
        <v>54</v>
      </c>
      <c r="C59" s="2" t="s">
        <v>4</v>
      </c>
      <c r="D59" s="2" t="s">
        <v>53</v>
      </c>
      <c r="E59" s="2" t="s">
        <v>52</v>
      </c>
      <c r="F59" s="2" t="s">
        <v>1</v>
      </c>
      <c r="G59" s="4">
        <v>60</v>
      </c>
      <c r="H59" s="1">
        <v>2209.21</v>
      </c>
      <c r="I59" s="1">
        <v>2672.02</v>
      </c>
      <c r="J59" s="5">
        <v>44824</v>
      </c>
      <c r="K59" s="5">
        <v>45698</v>
      </c>
      <c r="L59" s="4">
        <v>874</v>
      </c>
      <c r="M59" s="1">
        <v>132552.6</v>
      </c>
      <c r="N59" s="1">
        <v>160321.20000000001</v>
      </c>
      <c r="O59" s="1">
        <v>27768.6</v>
      </c>
      <c r="P59" s="3">
        <v>20.95</v>
      </c>
      <c r="Q59" s="2" t="s">
        <v>0</v>
      </c>
      <c r="R59" s="1">
        <v>0</v>
      </c>
      <c r="S59" s="1">
        <v>0</v>
      </c>
    </row>
    <row r="60" spans="1:19" ht="18" customHeight="1" x14ac:dyDescent="0.3">
      <c r="A60" s="9" t="s">
        <v>390</v>
      </c>
      <c r="B60" s="7" t="s">
        <v>50</v>
      </c>
      <c r="C60" s="7" t="s">
        <v>29</v>
      </c>
      <c r="D60" s="7" t="s">
        <v>49</v>
      </c>
      <c r="E60" s="7" t="s">
        <v>48</v>
      </c>
      <c r="F60" s="7" t="s">
        <v>1</v>
      </c>
      <c r="G60" s="9">
        <v>176</v>
      </c>
      <c r="H60" s="6">
        <v>2321.81</v>
      </c>
      <c r="I60" s="6">
        <v>2578.87</v>
      </c>
      <c r="J60" s="10">
        <v>44470</v>
      </c>
      <c r="K60" s="10">
        <v>45072</v>
      </c>
      <c r="L60" s="9">
        <v>602</v>
      </c>
      <c r="M60" s="6">
        <v>408638.56</v>
      </c>
      <c r="N60" s="6">
        <v>453881.12</v>
      </c>
      <c r="O60" s="6">
        <v>45242.559999999998</v>
      </c>
      <c r="P60" s="8">
        <v>11.07</v>
      </c>
      <c r="Q60" s="7" t="s">
        <v>0</v>
      </c>
      <c r="R60" s="6">
        <v>0</v>
      </c>
      <c r="S60" s="6">
        <v>0</v>
      </c>
    </row>
    <row r="61" spans="1:19" ht="18" customHeight="1" x14ac:dyDescent="0.3">
      <c r="A61" s="4" t="s">
        <v>389</v>
      </c>
      <c r="B61" s="2" t="s">
        <v>46</v>
      </c>
      <c r="C61" s="2" t="s">
        <v>23</v>
      </c>
      <c r="D61" s="2" t="s">
        <v>45</v>
      </c>
      <c r="E61" s="2" t="s">
        <v>44</v>
      </c>
      <c r="F61" s="2" t="s">
        <v>1</v>
      </c>
      <c r="G61" s="4">
        <v>145</v>
      </c>
      <c r="H61" s="1">
        <v>2482.62</v>
      </c>
      <c r="I61" s="1">
        <v>3941.01</v>
      </c>
      <c r="J61" s="5">
        <v>44873</v>
      </c>
      <c r="K61" s="5">
        <v>45233</v>
      </c>
      <c r="L61" s="4">
        <v>360</v>
      </c>
      <c r="M61" s="1">
        <v>359979.9</v>
      </c>
      <c r="N61" s="1">
        <v>571446.44999999995</v>
      </c>
      <c r="O61" s="1">
        <v>211466.55</v>
      </c>
      <c r="P61" s="3">
        <v>58.74</v>
      </c>
      <c r="Q61" s="2" t="s">
        <v>26</v>
      </c>
      <c r="R61" s="1">
        <v>31719.98</v>
      </c>
      <c r="S61" s="1">
        <v>0</v>
      </c>
    </row>
    <row r="62" spans="1:19" ht="18" customHeight="1" x14ac:dyDescent="0.3">
      <c r="A62" s="9" t="s">
        <v>388</v>
      </c>
      <c r="B62" s="7" t="s">
        <v>42</v>
      </c>
      <c r="C62" s="7" t="s">
        <v>19</v>
      </c>
      <c r="D62" s="7" t="s">
        <v>41</v>
      </c>
      <c r="E62" s="7" t="s">
        <v>12</v>
      </c>
      <c r="F62" s="7" t="s">
        <v>1</v>
      </c>
      <c r="G62" s="9">
        <v>447</v>
      </c>
      <c r="H62" s="6">
        <v>2711.52</v>
      </c>
      <c r="I62" s="6">
        <v>2176.79</v>
      </c>
      <c r="J62" s="10">
        <v>44827</v>
      </c>
      <c r="K62" s="10">
        <v>44926</v>
      </c>
      <c r="L62" s="9">
        <v>99</v>
      </c>
      <c r="M62" s="6">
        <v>1212049.44</v>
      </c>
      <c r="N62" s="6">
        <v>973025.13</v>
      </c>
      <c r="O62" s="6">
        <v>-239024.31</v>
      </c>
      <c r="P62" s="8">
        <v>-19.72</v>
      </c>
      <c r="Q62" s="7" t="s">
        <v>26</v>
      </c>
      <c r="R62" s="6">
        <v>0</v>
      </c>
      <c r="S62" s="6">
        <v>0</v>
      </c>
    </row>
    <row r="63" spans="1:19" ht="18" customHeight="1" x14ac:dyDescent="0.3">
      <c r="A63" s="4" t="s">
        <v>387</v>
      </c>
      <c r="B63" s="2" t="s">
        <v>39</v>
      </c>
      <c r="C63" s="2" t="s">
        <v>14</v>
      </c>
      <c r="D63" s="2" t="s">
        <v>38</v>
      </c>
      <c r="E63" s="2" t="s">
        <v>7</v>
      </c>
      <c r="F63" s="2" t="s">
        <v>1</v>
      </c>
      <c r="G63" s="4">
        <v>78</v>
      </c>
      <c r="H63" s="1">
        <v>1178.19</v>
      </c>
      <c r="I63" s="1">
        <v>1300.28</v>
      </c>
      <c r="J63" s="5">
        <v>44732</v>
      </c>
      <c r="K63" s="5">
        <v>45301</v>
      </c>
      <c r="L63" s="4">
        <v>569</v>
      </c>
      <c r="M63" s="1">
        <v>91898.82</v>
      </c>
      <c r="N63" s="1">
        <v>101421.84</v>
      </c>
      <c r="O63" s="1">
        <v>9523.02</v>
      </c>
      <c r="P63" s="3">
        <v>10.36</v>
      </c>
      <c r="Q63" s="2" t="s">
        <v>0</v>
      </c>
      <c r="R63" s="1">
        <v>0</v>
      </c>
      <c r="S63" s="1">
        <v>0</v>
      </c>
    </row>
    <row r="64" spans="1:19" ht="18" customHeight="1" x14ac:dyDescent="0.3">
      <c r="A64" s="9" t="s">
        <v>386</v>
      </c>
      <c r="B64" s="7" t="s">
        <v>36</v>
      </c>
      <c r="C64" s="7" t="s">
        <v>9</v>
      </c>
      <c r="D64" s="7" t="s">
        <v>35</v>
      </c>
      <c r="E64" s="7" t="s">
        <v>12</v>
      </c>
      <c r="F64" s="7" t="s">
        <v>1</v>
      </c>
      <c r="G64" s="9">
        <v>97</v>
      </c>
      <c r="H64" s="6">
        <v>2223.37</v>
      </c>
      <c r="I64" s="6">
        <v>1771.52</v>
      </c>
      <c r="J64" s="10">
        <v>45013</v>
      </c>
      <c r="K64" s="10">
        <v>45838</v>
      </c>
      <c r="L64" s="9">
        <v>825</v>
      </c>
      <c r="M64" s="6">
        <v>215666.89</v>
      </c>
      <c r="N64" s="6">
        <v>171837.44</v>
      </c>
      <c r="O64" s="6">
        <v>-43829.45</v>
      </c>
      <c r="P64" s="8">
        <v>-20.32</v>
      </c>
      <c r="Q64" s="7" t="s">
        <v>0</v>
      </c>
      <c r="R64" s="6">
        <v>0</v>
      </c>
      <c r="S64" s="6">
        <v>0</v>
      </c>
    </row>
    <row r="65" spans="1:19" ht="18" customHeight="1" x14ac:dyDescent="0.3">
      <c r="A65" s="4" t="s">
        <v>385</v>
      </c>
      <c r="B65" s="2" t="s">
        <v>33</v>
      </c>
      <c r="C65" s="2" t="s">
        <v>4</v>
      </c>
      <c r="D65" s="2" t="s">
        <v>32</v>
      </c>
      <c r="E65" s="2" t="s">
        <v>7</v>
      </c>
      <c r="F65" s="2" t="s">
        <v>1</v>
      </c>
      <c r="G65" s="4">
        <v>398</v>
      </c>
      <c r="H65" s="1">
        <v>934.35</v>
      </c>
      <c r="I65" s="1">
        <v>1361.54</v>
      </c>
      <c r="J65" s="5">
        <v>44996</v>
      </c>
      <c r="K65" s="5">
        <v>45797</v>
      </c>
      <c r="L65" s="4">
        <v>801</v>
      </c>
      <c r="M65" s="1">
        <v>371871.3</v>
      </c>
      <c r="N65" s="1">
        <v>541892.92000000004</v>
      </c>
      <c r="O65" s="1">
        <v>170021.62</v>
      </c>
      <c r="P65" s="3">
        <v>45.72</v>
      </c>
      <c r="Q65" s="2" t="s">
        <v>0</v>
      </c>
      <c r="R65" s="1">
        <v>0</v>
      </c>
      <c r="S65" s="1">
        <v>7002.16</v>
      </c>
    </row>
    <row r="66" spans="1:19" ht="18" customHeight="1" x14ac:dyDescent="0.3">
      <c r="A66" s="9" t="s">
        <v>384</v>
      </c>
      <c r="B66" s="7" t="s">
        <v>30</v>
      </c>
      <c r="C66" s="7" t="s">
        <v>29</v>
      </c>
      <c r="D66" s="7" t="s">
        <v>28</v>
      </c>
      <c r="E66" s="7" t="s">
        <v>27</v>
      </c>
      <c r="F66" s="7" t="s">
        <v>1</v>
      </c>
      <c r="G66" s="9">
        <v>56</v>
      </c>
      <c r="H66" s="6">
        <v>1835.94</v>
      </c>
      <c r="I66" s="6">
        <v>2384.1</v>
      </c>
      <c r="J66" s="10">
        <v>44253</v>
      </c>
      <c r="K66" s="10">
        <v>44925</v>
      </c>
      <c r="L66" s="9">
        <v>672</v>
      </c>
      <c r="M66" s="6">
        <v>102812.64</v>
      </c>
      <c r="N66" s="6">
        <v>133509.6</v>
      </c>
      <c r="O66" s="6">
        <v>30696.959999999999</v>
      </c>
      <c r="P66" s="8">
        <v>29.86</v>
      </c>
      <c r="Q66" s="7" t="s">
        <v>0</v>
      </c>
      <c r="R66" s="6">
        <v>0</v>
      </c>
      <c r="S66" s="6">
        <v>0</v>
      </c>
    </row>
    <row r="67" spans="1:19" ht="18" customHeight="1" x14ac:dyDescent="0.3">
      <c r="A67" s="4" t="s">
        <v>383</v>
      </c>
      <c r="B67" s="2" t="s">
        <v>24</v>
      </c>
      <c r="C67" s="2" t="s">
        <v>23</v>
      </c>
      <c r="D67" s="2" t="s">
        <v>22</v>
      </c>
      <c r="E67" s="2" t="s">
        <v>7</v>
      </c>
      <c r="F67" s="2" t="s">
        <v>1</v>
      </c>
      <c r="G67" s="4">
        <v>201</v>
      </c>
      <c r="H67" s="1">
        <v>59.68</v>
      </c>
      <c r="I67" s="1">
        <v>73.45</v>
      </c>
      <c r="J67" s="5">
        <v>44680</v>
      </c>
      <c r="K67" s="5">
        <v>44744</v>
      </c>
      <c r="L67" s="4">
        <v>64</v>
      </c>
      <c r="M67" s="1">
        <v>11995.68</v>
      </c>
      <c r="N67" s="1">
        <v>14763.45</v>
      </c>
      <c r="O67" s="1">
        <v>2767.77</v>
      </c>
      <c r="P67" s="3">
        <v>23.07</v>
      </c>
      <c r="Q67" s="2" t="s">
        <v>26</v>
      </c>
      <c r="R67" s="1">
        <v>415.17</v>
      </c>
      <c r="S67" s="1">
        <v>0</v>
      </c>
    </row>
    <row r="68" spans="1:19" ht="18" customHeight="1" x14ac:dyDescent="0.3">
      <c r="A68" s="9" t="s">
        <v>382</v>
      </c>
      <c r="B68" s="7" t="s">
        <v>20</v>
      </c>
      <c r="C68" s="7" t="s">
        <v>19</v>
      </c>
      <c r="D68" s="7" t="s">
        <v>18</v>
      </c>
      <c r="E68" s="7" t="s">
        <v>17</v>
      </c>
      <c r="F68" s="7" t="s">
        <v>1</v>
      </c>
      <c r="G68" s="9">
        <v>178</v>
      </c>
      <c r="H68" s="6">
        <v>759.2</v>
      </c>
      <c r="I68" s="6">
        <v>695.83</v>
      </c>
      <c r="J68" s="10">
        <v>44402</v>
      </c>
      <c r="K68" s="10">
        <v>44778</v>
      </c>
      <c r="L68" s="9">
        <v>376</v>
      </c>
      <c r="M68" s="6">
        <v>135137.60000000001</v>
      </c>
      <c r="N68" s="6">
        <v>123857.74</v>
      </c>
      <c r="O68" s="6">
        <v>-11279.86</v>
      </c>
      <c r="P68" s="8">
        <v>-8.35</v>
      </c>
      <c r="Q68" s="7" t="s">
        <v>0</v>
      </c>
      <c r="R68" s="6">
        <v>0</v>
      </c>
      <c r="S68" s="6">
        <v>0</v>
      </c>
    </row>
    <row r="69" spans="1:19" ht="18" customHeight="1" x14ac:dyDescent="0.3">
      <c r="A69" s="4" t="s">
        <v>381</v>
      </c>
      <c r="B69" s="2" t="s">
        <v>15</v>
      </c>
      <c r="C69" s="2" t="s">
        <v>14</v>
      </c>
      <c r="D69" s="2" t="s">
        <v>13</v>
      </c>
      <c r="E69" s="2" t="s">
        <v>12</v>
      </c>
      <c r="F69" s="2" t="s">
        <v>1</v>
      </c>
      <c r="G69" s="4">
        <v>252</v>
      </c>
      <c r="H69" s="1">
        <v>1942.75</v>
      </c>
      <c r="I69" s="1">
        <v>2257.31</v>
      </c>
      <c r="J69" s="5">
        <v>44715</v>
      </c>
      <c r="K69" s="5">
        <v>44785</v>
      </c>
      <c r="L69" s="4">
        <v>70</v>
      </c>
      <c r="M69" s="1">
        <v>489573</v>
      </c>
      <c r="N69" s="1">
        <v>568842.12</v>
      </c>
      <c r="O69" s="1">
        <v>79269.119999999995</v>
      </c>
      <c r="P69" s="3">
        <v>16.190000000000001</v>
      </c>
      <c r="Q69" s="2" t="s">
        <v>26</v>
      </c>
      <c r="R69" s="1">
        <v>11890.37</v>
      </c>
      <c r="S69" s="1">
        <v>0</v>
      </c>
    </row>
    <row r="70" spans="1:19" ht="18" customHeight="1" x14ac:dyDescent="0.3">
      <c r="A70" s="9" t="s">
        <v>380</v>
      </c>
      <c r="B70" s="7" t="s">
        <v>10</v>
      </c>
      <c r="C70" s="7" t="s">
        <v>9</v>
      </c>
      <c r="D70" s="7" t="s">
        <v>8</v>
      </c>
      <c r="E70" s="7" t="s">
        <v>7</v>
      </c>
      <c r="F70" s="7" t="s">
        <v>1</v>
      </c>
      <c r="G70" s="9">
        <v>293</v>
      </c>
      <c r="H70" s="6">
        <v>110.33</v>
      </c>
      <c r="I70" s="6">
        <v>151.27000000000001</v>
      </c>
      <c r="J70" s="10">
        <v>44600</v>
      </c>
      <c r="K70" s="10">
        <v>45123</v>
      </c>
      <c r="L70" s="9">
        <v>523</v>
      </c>
      <c r="M70" s="6">
        <v>32326.69</v>
      </c>
      <c r="N70" s="6">
        <v>44322.11</v>
      </c>
      <c r="O70" s="6">
        <v>11995.42</v>
      </c>
      <c r="P70" s="8">
        <v>37.11</v>
      </c>
      <c r="Q70" s="7" t="s">
        <v>0</v>
      </c>
      <c r="R70" s="6">
        <v>0</v>
      </c>
      <c r="S70" s="6">
        <v>0</v>
      </c>
    </row>
    <row r="71" spans="1:19" ht="18" customHeight="1" x14ac:dyDescent="0.3">
      <c r="A71" s="4" t="s">
        <v>379</v>
      </c>
      <c r="B71" s="2" t="s">
        <v>5</v>
      </c>
      <c r="C71" s="2" t="s">
        <v>4</v>
      </c>
      <c r="D71" s="2" t="s">
        <v>3</v>
      </c>
      <c r="E71" s="2" t="s">
        <v>2</v>
      </c>
      <c r="F71" s="2" t="s">
        <v>1</v>
      </c>
      <c r="G71" s="4">
        <v>326</v>
      </c>
      <c r="H71" s="1">
        <v>908.88</v>
      </c>
      <c r="I71" s="1">
        <v>1432.5</v>
      </c>
      <c r="J71" s="5">
        <v>44516</v>
      </c>
      <c r="K71" s="5">
        <v>44823</v>
      </c>
      <c r="L71" s="4">
        <v>307</v>
      </c>
      <c r="M71" s="1">
        <v>296294.88</v>
      </c>
      <c r="N71" s="1">
        <v>466995</v>
      </c>
      <c r="O71" s="1">
        <v>170700.12</v>
      </c>
      <c r="P71" s="3">
        <v>57.61</v>
      </c>
      <c r="Q71" s="2" t="s">
        <v>26</v>
      </c>
      <c r="R71" s="1">
        <v>25605.02</v>
      </c>
      <c r="S71" s="1">
        <v>0</v>
      </c>
    </row>
    <row r="72" spans="1:19" ht="18" customHeight="1" x14ac:dyDescent="0.3">
      <c r="A72" s="9" t="s">
        <v>378</v>
      </c>
      <c r="B72" s="7" t="s">
        <v>62</v>
      </c>
      <c r="C72" s="7" t="s">
        <v>29</v>
      </c>
      <c r="D72" s="7" t="s">
        <v>61</v>
      </c>
      <c r="E72" s="7" t="s">
        <v>60</v>
      </c>
      <c r="F72" s="7" t="s">
        <v>1</v>
      </c>
      <c r="G72" s="9">
        <v>162</v>
      </c>
      <c r="H72" s="6">
        <v>3266.46</v>
      </c>
      <c r="I72" s="6">
        <v>3463.28</v>
      </c>
      <c r="J72" s="10">
        <v>44288</v>
      </c>
      <c r="K72" s="10">
        <v>45094</v>
      </c>
      <c r="L72" s="9">
        <v>806</v>
      </c>
      <c r="M72" s="6">
        <v>529166.52</v>
      </c>
      <c r="N72" s="6">
        <v>561051.36</v>
      </c>
      <c r="O72" s="6">
        <v>31884.84</v>
      </c>
      <c r="P72" s="8">
        <v>6.03</v>
      </c>
      <c r="Q72" s="7" t="s">
        <v>0</v>
      </c>
      <c r="R72" s="6">
        <v>0</v>
      </c>
      <c r="S72" s="6">
        <v>0</v>
      </c>
    </row>
    <row r="73" spans="1:19" ht="18" customHeight="1" x14ac:dyDescent="0.3">
      <c r="A73" s="4" t="s">
        <v>377</v>
      </c>
      <c r="B73" s="2" t="s">
        <v>58</v>
      </c>
      <c r="C73" s="2" t="s">
        <v>23</v>
      </c>
      <c r="D73" s="2" t="s">
        <v>57</v>
      </c>
      <c r="E73" s="2" t="s">
        <v>56</v>
      </c>
      <c r="F73" s="2" t="s">
        <v>1</v>
      </c>
      <c r="G73" s="4">
        <v>327</v>
      </c>
      <c r="H73" s="1">
        <v>2500.1999999999998</v>
      </c>
      <c r="I73" s="1">
        <v>3163.09</v>
      </c>
      <c r="J73" s="5">
        <v>44981</v>
      </c>
      <c r="K73" s="5">
        <v>45128</v>
      </c>
      <c r="L73" s="4">
        <v>147</v>
      </c>
      <c r="M73" s="1">
        <v>817565.4</v>
      </c>
      <c r="N73" s="1">
        <v>1034330.43</v>
      </c>
      <c r="O73" s="1">
        <v>216765.03</v>
      </c>
      <c r="P73" s="3">
        <v>26.51</v>
      </c>
      <c r="Q73" s="2" t="s">
        <v>26</v>
      </c>
      <c r="R73" s="1">
        <v>32514.75</v>
      </c>
      <c r="S73" s="1">
        <v>0</v>
      </c>
    </row>
    <row r="74" spans="1:19" ht="18" customHeight="1" x14ac:dyDescent="0.3">
      <c r="A74" s="9" t="s">
        <v>376</v>
      </c>
      <c r="B74" s="7" t="s">
        <v>54</v>
      </c>
      <c r="C74" s="7" t="s">
        <v>19</v>
      </c>
      <c r="D74" s="7" t="s">
        <v>53</v>
      </c>
      <c r="E74" s="7" t="s">
        <v>52</v>
      </c>
      <c r="F74" s="7" t="s">
        <v>1</v>
      </c>
      <c r="G74" s="9">
        <v>156</v>
      </c>
      <c r="H74" s="6">
        <v>2942.56</v>
      </c>
      <c r="I74" s="6">
        <v>2972.29</v>
      </c>
      <c r="J74" s="10">
        <v>44522</v>
      </c>
      <c r="K74" s="10">
        <v>44668</v>
      </c>
      <c r="L74" s="9">
        <v>146</v>
      </c>
      <c r="M74" s="6">
        <v>459039.36</v>
      </c>
      <c r="N74" s="6">
        <v>463677.24</v>
      </c>
      <c r="O74" s="6">
        <v>4637.88</v>
      </c>
      <c r="P74" s="8">
        <v>1.01</v>
      </c>
      <c r="Q74" s="7" t="s">
        <v>26</v>
      </c>
      <c r="R74" s="6">
        <v>695.68</v>
      </c>
      <c r="S74" s="6">
        <v>0</v>
      </c>
    </row>
    <row r="75" spans="1:19" ht="18" customHeight="1" x14ac:dyDescent="0.3">
      <c r="A75" s="4" t="s">
        <v>375</v>
      </c>
      <c r="B75" s="2" t="s">
        <v>50</v>
      </c>
      <c r="C75" s="2" t="s">
        <v>14</v>
      </c>
      <c r="D75" s="2" t="s">
        <v>49</v>
      </c>
      <c r="E75" s="2" t="s">
        <v>48</v>
      </c>
      <c r="F75" s="2" t="s">
        <v>1</v>
      </c>
      <c r="G75" s="4">
        <v>48</v>
      </c>
      <c r="H75" s="1">
        <v>1049.1300000000001</v>
      </c>
      <c r="I75" s="1">
        <v>825.93</v>
      </c>
      <c r="J75" s="5">
        <v>44729</v>
      </c>
      <c r="K75" s="5">
        <v>44866</v>
      </c>
      <c r="L75" s="4">
        <v>137</v>
      </c>
      <c r="M75" s="1">
        <v>50358.239999999998</v>
      </c>
      <c r="N75" s="1">
        <v>39644.639999999999</v>
      </c>
      <c r="O75" s="1">
        <v>-10713.6</v>
      </c>
      <c r="P75" s="3">
        <v>-21.27</v>
      </c>
      <c r="Q75" s="2" t="s">
        <v>26</v>
      </c>
      <c r="R75" s="1">
        <v>0</v>
      </c>
      <c r="S75" s="1">
        <v>0</v>
      </c>
    </row>
    <row r="76" spans="1:19" ht="18" customHeight="1" x14ac:dyDescent="0.3">
      <c r="A76" s="9" t="s">
        <v>374</v>
      </c>
      <c r="B76" s="7" t="s">
        <v>46</v>
      </c>
      <c r="C76" s="7" t="s">
        <v>9</v>
      </c>
      <c r="D76" s="7" t="s">
        <v>45</v>
      </c>
      <c r="E76" s="7" t="s">
        <v>44</v>
      </c>
      <c r="F76" s="7" t="s">
        <v>1</v>
      </c>
      <c r="G76" s="9">
        <v>209</v>
      </c>
      <c r="H76" s="6">
        <v>1113.3399999999999</v>
      </c>
      <c r="I76" s="6">
        <v>1518.41</v>
      </c>
      <c r="J76" s="10">
        <v>44969</v>
      </c>
      <c r="K76" s="10">
        <v>45332</v>
      </c>
      <c r="L76" s="9">
        <v>363</v>
      </c>
      <c r="M76" s="6">
        <v>232688.06</v>
      </c>
      <c r="N76" s="6">
        <v>317347.69</v>
      </c>
      <c r="O76" s="6">
        <v>84659.63</v>
      </c>
      <c r="P76" s="8">
        <v>36.380000000000003</v>
      </c>
      <c r="Q76" s="7" t="s">
        <v>26</v>
      </c>
      <c r="R76" s="6">
        <v>12698.94</v>
      </c>
      <c r="S76" s="6">
        <v>0</v>
      </c>
    </row>
    <row r="77" spans="1:19" ht="18" customHeight="1" x14ac:dyDescent="0.3">
      <c r="A77" s="4" t="s">
        <v>373</v>
      </c>
      <c r="B77" s="2" t="s">
        <v>42</v>
      </c>
      <c r="C77" s="2" t="s">
        <v>4</v>
      </c>
      <c r="D77" s="2" t="s">
        <v>41</v>
      </c>
      <c r="E77" s="2" t="s">
        <v>12</v>
      </c>
      <c r="F77" s="2" t="s">
        <v>1</v>
      </c>
      <c r="G77" s="4">
        <v>238</v>
      </c>
      <c r="H77" s="1">
        <v>1072.18</v>
      </c>
      <c r="I77" s="1">
        <v>1155.5999999999999</v>
      </c>
      <c r="J77" s="5">
        <v>45085</v>
      </c>
      <c r="K77" s="5">
        <v>45480</v>
      </c>
      <c r="L77" s="4">
        <v>395</v>
      </c>
      <c r="M77" s="1">
        <v>255178.84</v>
      </c>
      <c r="N77" s="1">
        <v>275032.8</v>
      </c>
      <c r="O77" s="1">
        <v>19853.96</v>
      </c>
      <c r="P77" s="3">
        <v>7.78</v>
      </c>
      <c r="Q77" s="2" t="s">
        <v>0</v>
      </c>
      <c r="R77" s="1">
        <v>0</v>
      </c>
      <c r="S77" s="1">
        <v>0</v>
      </c>
    </row>
    <row r="78" spans="1:19" ht="18" customHeight="1" x14ac:dyDescent="0.3">
      <c r="A78" s="9" t="s">
        <v>372</v>
      </c>
      <c r="B78" s="7" t="s">
        <v>39</v>
      </c>
      <c r="C78" s="7" t="s">
        <v>29</v>
      </c>
      <c r="D78" s="7" t="s">
        <v>38</v>
      </c>
      <c r="E78" s="7" t="s">
        <v>7</v>
      </c>
      <c r="F78" s="7" t="s">
        <v>1</v>
      </c>
      <c r="G78" s="9">
        <v>281</v>
      </c>
      <c r="H78" s="6">
        <v>3447.31</v>
      </c>
      <c r="I78" s="6">
        <v>4788.16</v>
      </c>
      <c r="J78" s="10">
        <v>45075</v>
      </c>
      <c r="K78" s="10">
        <v>45344</v>
      </c>
      <c r="L78" s="9">
        <v>269</v>
      </c>
      <c r="M78" s="6">
        <v>968694.11</v>
      </c>
      <c r="N78" s="6">
        <v>1345472.96</v>
      </c>
      <c r="O78" s="6">
        <v>376778.85</v>
      </c>
      <c r="P78" s="8">
        <v>38.9</v>
      </c>
      <c r="Q78" s="7" t="s">
        <v>26</v>
      </c>
      <c r="R78" s="6">
        <v>56516.83</v>
      </c>
      <c r="S78" s="6">
        <v>0</v>
      </c>
    </row>
    <row r="79" spans="1:19" ht="18" customHeight="1" x14ac:dyDescent="0.3">
      <c r="A79" s="4" t="s">
        <v>371</v>
      </c>
      <c r="B79" s="2" t="s">
        <v>36</v>
      </c>
      <c r="C79" s="2" t="s">
        <v>23</v>
      </c>
      <c r="D79" s="2" t="s">
        <v>35</v>
      </c>
      <c r="E79" s="2" t="s">
        <v>12</v>
      </c>
      <c r="F79" s="2" t="s">
        <v>1</v>
      </c>
      <c r="G79" s="4">
        <v>148</v>
      </c>
      <c r="H79" s="1">
        <v>1674.06</v>
      </c>
      <c r="I79" s="1">
        <v>2137.1</v>
      </c>
      <c r="J79" s="5">
        <v>44236</v>
      </c>
      <c r="K79" s="5">
        <v>44497</v>
      </c>
      <c r="L79" s="4">
        <v>261</v>
      </c>
      <c r="M79" s="1">
        <v>247760.88</v>
      </c>
      <c r="N79" s="1">
        <v>316290.8</v>
      </c>
      <c r="O79" s="1">
        <v>68529.919999999998</v>
      </c>
      <c r="P79" s="3">
        <v>27.66</v>
      </c>
      <c r="Q79" s="2" t="s">
        <v>26</v>
      </c>
      <c r="R79" s="1">
        <v>10279.49</v>
      </c>
      <c r="S79" s="1">
        <v>0</v>
      </c>
    </row>
    <row r="80" spans="1:19" ht="18" customHeight="1" x14ac:dyDescent="0.3">
      <c r="A80" s="9" t="s">
        <v>370</v>
      </c>
      <c r="B80" s="7" t="s">
        <v>33</v>
      </c>
      <c r="C80" s="7" t="s">
        <v>19</v>
      </c>
      <c r="D80" s="7" t="s">
        <v>32</v>
      </c>
      <c r="E80" s="7" t="s">
        <v>7</v>
      </c>
      <c r="F80" s="7" t="s">
        <v>1</v>
      </c>
      <c r="G80" s="9">
        <v>217</v>
      </c>
      <c r="H80" s="6">
        <v>451.48</v>
      </c>
      <c r="I80" s="6">
        <v>524.04999999999995</v>
      </c>
      <c r="J80" s="10">
        <v>44861</v>
      </c>
      <c r="K80" s="10">
        <v>45167</v>
      </c>
      <c r="L80" s="9">
        <v>306</v>
      </c>
      <c r="M80" s="6">
        <v>97971.16</v>
      </c>
      <c r="N80" s="6">
        <v>113718.85</v>
      </c>
      <c r="O80" s="6">
        <v>15747.69</v>
      </c>
      <c r="P80" s="8">
        <v>16.07</v>
      </c>
      <c r="Q80" s="7" t="s">
        <v>26</v>
      </c>
      <c r="R80" s="6">
        <v>2362.15</v>
      </c>
      <c r="S80" s="6">
        <v>0</v>
      </c>
    </row>
    <row r="81" spans="1:19" ht="18" customHeight="1" x14ac:dyDescent="0.3">
      <c r="A81" s="4" t="s">
        <v>369</v>
      </c>
      <c r="B81" s="2" t="s">
        <v>30</v>
      </c>
      <c r="C81" s="2" t="s">
        <v>14</v>
      </c>
      <c r="D81" s="2" t="s">
        <v>28</v>
      </c>
      <c r="E81" s="2" t="s">
        <v>27</v>
      </c>
      <c r="F81" s="2" t="s">
        <v>1</v>
      </c>
      <c r="G81" s="4">
        <v>140</v>
      </c>
      <c r="H81" s="1">
        <v>3354.01</v>
      </c>
      <c r="I81" s="1">
        <v>4425.79</v>
      </c>
      <c r="J81" s="5">
        <v>44533</v>
      </c>
      <c r="K81" s="5">
        <v>45074</v>
      </c>
      <c r="L81" s="4">
        <v>541</v>
      </c>
      <c r="M81" s="1">
        <v>469561.4</v>
      </c>
      <c r="N81" s="1">
        <v>619610.6</v>
      </c>
      <c r="O81" s="1">
        <v>150049.20000000001</v>
      </c>
      <c r="P81" s="3">
        <v>31.96</v>
      </c>
      <c r="Q81" s="2" t="s">
        <v>0</v>
      </c>
      <c r="R81" s="1">
        <v>0</v>
      </c>
      <c r="S81" s="1">
        <v>5004.92</v>
      </c>
    </row>
    <row r="82" spans="1:19" ht="18" customHeight="1" x14ac:dyDescent="0.3">
      <c r="A82" s="9" t="s">
        <v>368</v>
      </c>
      <c r="B82" s="7" t="s">
        <v>24</v>
      </c>
      <c r="C82" s="7" t="s">
        <v>9</v>
      </c>
      <c r="D82" s="7" t="s">
        <v>22</v>
      </c>
      <c r="E82" s="7" t="s">
        <v>7</v>
      </c>
      <c r="F82" s="7" t="s">
        <v>1</v>
      </c>
      <c r="G82" s="9">
        <v>120</v>
      </c>
      <c r="H82" s="6">
        <v>2542.4299999999998</v>
      </c>
      <c r="I82" s="6">
        <v>3762.1</v>
      </c>
      <c r="J82" s="10">
        <v>44367</v>
      </c>
      <c r="K82" s="10">
        <v>45051</v>
      </c>
      <c r="L82" s="9">
        <v>684</v>
      </c>
      <c r="M82" s="6">
        <v>305091.59999999998</v>
      </c>
      <c r="N82" s="6">
        <v>451452</v>
      </c>
      <c r="O82" s="6">
        <v>146360.4</v>
      </c>
      <c r="P82" s="8">
        <v>47.97</v>
      </c>
      <c r="Q82" s="7" t="s">
        <v>0</v>
      </c>
      <c r="R82" s="6">
        <v>0</v>
      </c>
      <c r="S82" s="6">
        <v>4636.04</v>
      </c>
    </row>
    <row r="83" spans="1:19" ht="18" customHeight="1" x14ac:dyDescent="0.3">
      <c r="A83" s="4" t="s">
        <v>367</v>
      </c>
      <c r="B83" s="2" t="s">
        <v>20</v>
      </c>
      <c r="C83" s="2" t="s">
        <v>4</v>
      </c>
      <c r="D83" s="2" t="s">
        <v>18</v>
      </c>
      <c r="E83" s="2" t="s">
        <v>17</v>
      </c>
      <c r="F83" s="2" t="s">
        <v>1</v>
      </c>
      <c r="G83" s="4">
        <v>346</v>
      </c>
      <c r="H83" s="1">
        <v>1049.78</v>
      </c>
      <c r="I83" s="1">
        <v>1437.29</v>
      </c>
      <c r="J83" s="5">
        <v>44437</v>
      </c>
      <c r="K83" s="5">
        <v>44638</v>
      </c>
      <c r="L83" s="4">
        <v>201</v>
      </c>
      <c r="M83" s="1">
        <v>363223.88</v>
      </c>
      <c r="N83" s="1">
        <v>497302.34</v>
      </c>
      <c r="O83" s="1">
        <v>134078.46</v>
      </c>
      <c r="P83" s="3">
        <v>36.909999999999997</v>
      </c>
      <c r="Q83" s="2" t="s">
        <v>26</v>
      </c>
      <c r="R83" s="1">
        <v>20111.77</v>
      </c>
      <c r="S83" s="1">
        <v>0</v>
      </c>
    </row>
    <row r="84" spans="1:19" ht="18" customHeight="1" x14ac:dyDescent="0.3">
      <c r="A84" s="9" t="s">
        <v>366</v>
      </c>
      <c r="B84" s="7" t="s">
        <v>15</v>
      </c>
      <c r="C84" s="7" t="s">
        <v>29</v>
      </c>
      <c r="D84" s="7" t="s">
        <v>13</v>
      </c>
      <c r="E84" s="7" t="s">
        <v>12</v>
      </c>
      <c r="F84" s="7" t="s">
        <v>1</v>
      </c>
      <c r="G84" s="9">
        <v>399</v>
      </c>
      <c r="H84" s="6">
        <v>1124.1199999999999</v>
      </c>
      <c r="I84" s="6">
        <v>1768.1</v>
      </c>
      <c r="J84" s="10">
        <v>44265</v>
      </c>
      <c r="K84" s="10">
        <v>44827</v>
      </c>
      <c r="L84" s="9">
        <v>562</v>
      </c>
      <c r="M84" s="6">
        <v>448523.88</v>
      </c>
      <c r="N84" s="6">
        <v>705471.9</v>
      </c>
      <c r="O84" s="6">
        <v>256948.02</v>
      </c>
      <c r="P84" s="8">
        <v>57.29</v>
      </c>
      <c r="Q84" s="7" t="s">
        <v>0</v>
      </c>
      <c r="R84" s="6">
        <v>0</v>
      </c>
      <c r="S84" s="6">
        <v>15694.8</v>
      </c>
    </row>
    <row r="85" spans="1:19" ht="18" customHeight="1" x14ac:dyDescent="0.3">
      <c r="A85" s="4" t="s">
        <v>365</v>
      </c>
      <c r="B85" s="2" t="s">
        <v>10</v>
      </c>
      <c r="C85" s="2" t="s">
        <v>23</v>
      </c>
      <c r="D85" s="2" t="s">
        <v>8</v>
      </c>
      <c r="E85" s="2" t="s">
        <v>7</v>
      </c>
      <c r="F85" s="2" t="s">
        <v>1</v>
      </c>
      <c r="G85" s="4">
        <v>401</v>
      </c>
      <c r="H85" s="1">
        <v>307.56</v>
      </c>
      <c r="I85" s="1">
        <v>425.09</v>
      </c>
      <c r="J85" s="5">
        <v>44413</v>
      </c>
      <c r="K85" s="5">
        <v>44834</v>
      </c>
      <c r="L85" s="4">
        <v>421</v>
      </c>
      <c r="M85" s="1">
        <v>123331.56</v>
      </c>
      <c r="N85" s="1">
        <v>170461.09</v>
      </c>
      <c r="O85" s="1">
        <v>47129.53</v>
      </c>
      <c r="P85" s="3">
        <v>38.21</v>
      </c>
      <c r="Q85" s="2" t="s">
        <v>0</v>
      </c>
      <c r="R85" s="1">
        <v>0</v>
      </c>
      <c r="S85" s="1">
        <v>0</v>
      </c>
    </row>
    <row r="86" spans="1:19" ht="18" customHeight="1" x14ac:dyDescent="0.3">
      <c r="A86" s="9" t="s">
        <v>364</v>
      </c>
      <c r="B86" s="7" t="s">
        <v>5</v>
      </c>
      <c r="C86" s="7" t="s">
        <v>19</v>
      </c>
      <c r="D86" s="7" t="s">
        <v>3</v>
      </c>
      <c r="E86" s="7" t="s">
        <v>2</v>
      </c>
      <c r="F86" s="7" t="s">
        <v>1</v>
      </c>
      <c r="G86" s="9">
        <v>78</v>
      </c>
      <c r="H86" s="6">
        <v>915.15</v>
      </c>
      <c r="I86" s="6">
        <v>1322.9</v>
      </c>
      <c r="J86" s="10">
        <v>44794</v>
      </c>
      <c r="K86" s="10">
        <v>45526</v>
      </c>
      <c r="L86" s="9">
        <v>732</v>
      </c>
      <c r="M86" s="6">
        <v>71381.7</v>
      </c>
      <c r="N86" s="6">
        <v>103186.2</v>
      </c>
      <c r="O86" s="6">
        <v>31804.5</v>
      </c>
      <c r="P86" s="8">
        <v>44.56</v>
      </c>
      <c r="Q86" s="7" t="s">
        <v>0</v>
      </c>
      <c r="R86" s="6">
        <v>0</v>
      </c>
      <c r="S86" s="6">
        <v>0</v>
      </c>
    </row>
    <row r="87" spans="1:19" ht="18" customHeight="1" x14ac:dyDescent="0.3">
      <c r="A87" s="4" t="s">
        <v>363</v>
      </c>
      <c r="B87" s="2" t="s">
        <v>62</v>
      </c>
      <c r="C87" s="2" t="s">
        <v>14</v>
      </c>
      <c r="D87" s="2" t="s">
        <v>61</v>
      </c>
      <c r="E87" s="2" t="s">
        <v>60</v>
      </c>
      <c r="F87" s="2" t="s">
        <v>1</v>
      </c>
      <c r="G87" s="4">
        <v>149</v>
      </c>
      <c r="H87" s="1">
        <v>1165.58</v>
      </c>
      <c r="I87" s="1">
        <v>1436.76</v>
      </c>
      <c r="J87" s="5">
        <v>44628</v>
      </c>
      <c r="K87" s="5">
        <v>45448</v>
      </c>
      <c r="L87" s="4">
        <v>820</v>
      </c>
      <c r="M87" s="1">
        <v>173671.42</v>
      </c>
      <c r="N87" s="1">
        <v>214077.24</v>
      </c>
      <c r="O87" s="1">
        <v>40405.82</v>
      </c>
      <c r="P87" s="3">
        <v>23.27</v>
      </c>
      <c r="Q87" s="2" t="s">
        <v>0</v>
      </c>
      <c r="R87" s="1">
        <v>0</v>
      </c>
      <c r="S87" s="1">
        <v>0</v>
      </c>
    </row>
    <row r="88" spans="1:19" ht="18" customHeight="1" x14ac:dyDescent="0.3">
      <c r="A88" s="9" t="s">
        <v>362</v>
      </c>
      <c r="B88" s="7" t="s">
        <v>58</v>
      </c>
      <c r="C88" s="7" t="s">
        <v>9</v>
      </c>
      <c r="D88" s="7" t="s">
        <v>57</v>
      </c>
      <c r="E88" s="7" t="s">
        <v>56</v>
      </c>
      <c r="F88" s="7" t="s">
        <v>1</v>
      </c>
      <c r="G88" s="9">
        <v>394</v>
      </c>
      <c r="H88" s="6">
        <v>1640.32</v>
      </c>
      <c r="I88" s="6">
        <v>2335.5</v>
      </c>
      <c r="J88" s="10">
        <v>44604</v>
      </c>
      <c r="K88" s="10">
        <v>45219</v>
      </c>
      <c r="L88" s="9">
        <v>615</v>
      </c>
      <c r="M88" s="6">
        <v>646286.07999999996</v>
      </c>
      <c r="N88" s="6">
        <v>920187</v>
      </c>
      <c r="O88" s="6">
        <v>273900.92</v>
      </c>
      <c r="P88" s="8">
        <v>42.38</v>
      </c>
      <c r="Q88" s="7" t="s">
        <v>0</v>
      </c>
      <c r="R88" s="6">
        <v>0</v>
      </c>
      <c r="S88" s="6">
        <v>17390.09</v>
      </c>
    </row>
    <row r="89" spans="1:19" ht="18" customHeight="1" x14ac:dyDescent="0.3">
      <c r="A89" s="4" t="s">
        <v>361</v>
      </c>
      <c r="B89" s="2" t="s">
        <v>54</v>
      </c>
      <c r="C89" s="2" t="s">
        <v>4</v>
      </c>
      <c r="D89" s="2" t="s">
        <v>53</v>
      </c>
      <c r="E89" s="2" t="s">
        <v>52</v>
      </c>
      <c r="F89" s="2" t="s">
        <v>1</v>
      </c>
      <c r="G89" s="4">
        <v>158</v>
      </c>
      <c r="H89" s="1">
        <v>1348.11</v>
      </c>
      <c r="I89" s="1">
        <v>1872.95</v>
      </c>
      <c r="J89" s="5">
        <v>44942</v>
      </c>
      <c r="K89" s="5">
        <v>45703</v>
      </c>
      <c r="L89" s="4">
        <v>761</v>
      </c>
      <c r="M89" s="1">
        <v>213001.38</v>
      </c>
      <c r="N89" s="1">
        <v>295926.09999999998</v>
      </c>
      <c r="O89" s="1">
        <v>82924.72</v>
      </c>
      <c r="P89" s="3">
        <v>38.93</v>
      </c>
      <c r="Q89" s="2" t="s">
        <v>0</v>
      </c>
      <c r="R89" s="1">
        <v>0</v>
      </c>
      <c r="S89" s="1">
        <v>0</v>
      </c>
    </row>
    <row r="90" spans="1:19" ht="18" customHeight="1" x14ac:dyDescent="0.3">
      <c r="A90" s="9" t="s">
        <v>360</v>
      </c>
      <c r="B90" s="7" t="s">
        <v>50</v>
      </c>
      <c r="C90" s="7" t="s">
        <v>29</v>
      </c>
      <c r="D90" s="7" t="s">
        <v>49</v>
      </c>
      <c r="E90" s="7" t="s">
        <v>48</v>
      </c>
      <c r="F90" s="7" t="s">
        <v>1</v>
      </c>
      <c r="G90" s="9">
        <v>171</v>
      </c>
      <c r="H90" s="6">
        <v>310.89</v>
      </c>
      <c r="I90" s="6">
        <v>363.99</v>
      </c>
      <c r="J90" s="10">
        <v>44624</v>
      </c>
      <c r="K90" s="10">
        <v>45074</v>
      </c>
      <c r="L90" s="9">
        <v>450</v>
      </c>
      <c r="M90" s="6">
        <v>53162.19</v>
      </c>
      <c r="N90" s="6">
        <v>62242.29</v>
      </c>
      <c r="O90" s="6">
        <v>9080.1</v>
      </c>
      <c r="P90" s="8">
        <v>17.079999999999998</v>
      </c>
      <c r="Q90" s="7" t="s">
        <v>0</v>
      </c>
      <c r="R90" s="6">
        <v>0</v>
      </c>
      <c r="S90" s="6">
        <v>0</v>
      </c>
    </row>
    <row r="91" spans="1:19" ht="18" customHeight="1" x14ac:dyDescent="0.3">
      <c r="A91" s="4" t="s">
        <v>359</v>
      </c>
      <c r="B91" s="2" t="s">
        <v>46</v>
      </c>
      <c r="C91" s="2" t="s">
        <v>23</v>
      </c>
      <c r="D91" s="2" t="s">
        <v>45</v>
      </c>
      <c r="E91" s="2" t="s">
        <v>44</v>
      </c>
      <c r="F91" s="2" t="s">
        <v>1</v>
      </c>
      <c r="G91" s="4">
        <v>30</v>
      </c>
      <c r="H91" s="1">
        <v>1625.41</v>
      </c>
      <c r="I91" s="1">
        <v>1563.15</v>
      </c>
      <c r="J91" s="5">
        <v>44876</v>
      </c>
      <c r="K91" s="5">
        <v>45367</v>
      </c>
      <c r="L91" s="4">
        <v>491</v>
      </c>
      <c r="M91" s="1">
        <v>48762.3</v>
      </c>
      <c r="N91" s="1">
        <v>46894.5</v>
      </c>
      <c r="O91" s="1">
        <v>-1867.8</v>
      </c>
      <c r="P91" s="3">
        <v>-3.83</v>
      </c>
      <c r="Q91" s="2" t="s">
        <v>0</v>
      </c>
      <c r="R91" s="1">
        <v>0</v>
      </c>
      <c r="S91" s="1">
        <v>0</v>
      </c>
    </row>
    <row r="92" spans="1:19" ht="18" customHeight="1" x14ac:dyDescent="0.3">
      <c r="A92" s="9" t="s">
        <v>358</v>
      </c>
      <c r="B92" s="7" t="s">
        <v>42</v>
      </c>
      <c r="C92" s="7" t="s">
        <v>19</v>
      </c>
      <c r="D92" s="7" t="s">
        <v>41</v>
      </c>
      <c r="E92" s="7" t="s">
        <v>12</v>
      </c>
      <c r="F92" s="7" t="s">
        <v>1</v>
      </c>
      <c r="G92" s="9">
        <v>313</v>
      </c>
      <c r="H92" s="6">
        <v>2043.84</v>
      </c>
      <c r="I92" s="6">
        <v>2573.75</v>
      </c>
      <c r="J92" s="10">
        <v>44323</v>
      </c>
      <c r="K92" s="10">
        <v>44701</v>
      </c>
      <c r="L92" s="9">
        <v>378</v>
      </c>
      <c r="M92" s="6">
        <v>639721.92000000004</v>
      </c>
      <c r="N92" s="6">
        <v>805583.75</v>
      </c>
      <c r="O92" s="6">
        <v>165861.82999999999</v>
      </c>
      <c r="P92" s="8">
        <v>25.93</v>
      </c>
      <c r="Q92" s="7" t="s">
        <v>0</v>
      </c>
      <c r="R92" s="6">
        <v>0</v>
      </c>
      <c r="S92" s="6">
        <v>6586.18</v>
      </c>
    </row>
    <row r="93" spans="1:19" ht="18" customHeight="1" x14ac:dyDescent="0.3">
      <c r="A93" s="4" t="s">
        <v>357</v>
      </c>
      <c r="B93" s="2" t="s">
        <v>39</v>
      </c>
      <c r="C93" s="2" t="s">
        <v>14</v>
      </c>
      <c r="D93" s="2" t="s">
        <v>38</v>
      </c>
      <c r="E93" s="2" t="s">
        <v>7</v>
      </c>
      <c r="F93" s="2" t="s">
        <v>1</v>
      </c>
      <c r="G93" s="4">
        <v>111</v>
      </c>
      <c r="H93" s="1">
        <v>3359.15</v>
      </c>
      <c r="I93" s="1">
        <v>4211.84</v>
      </c>
      <c r="J93" s="5">
        <v>44276</v>
      </c>
      <c r="K93" s="5">
        <v>44450</v>
      </c>
      <c r="L93" s="4">
        <v>174</v>
      </c>
      <c r="M93" s="1">
        <v>372865.65</v>
      </c>
      <c r="N93" s="1">
        <v>467514.24</v>
      </c>
      <c r="O93" s="1">
        <v>94648.59</v>
      </c>
      <c r="P93" s="3">
        <v>25.38</v>
      </c>
      <c r="Q93" s="2" t="s">
        <v>26</v>
      </c>
      <c r="R93" s="1">
        <v>14197.29</v>
      </c>
      <c r="S93" s="1">
        <v>0</v>
      </c>
    </row>
    <row r="94" spans="1:19" ht="18" customHeight="1" x14ac:dyDescent="0.3">
      <c r="A94" s="9" t="s">
        <v>356</v>
      </c>
      <c r="B94" s="7" t="s">
        <v>36</v>
      </c>
      <c r="C94" s="7" t="s">
        <v>9</v>
      </c>
      <c r="D94" s="7" t="s">
        <v>35</v>
      </c>
      <c r="E94" s="7" t="s">
        <v>12</v>
      </c>
      <c r="F94" s="7" t="s">
        <v>1</v>
      </c>
      <c r="G94" s="9">
        <v>141</v>
      </c>
      <c r="H94" s="6">
        <v>2446</v>
      </c>
      <c r="I94" s="6">
        <v>3453.06</v>
      </c>
      <c r="J94" s="10">
        <v>44963</v>
      </c>
      <c r="K94" s="10">
        <v>45727</v>
      </c>
      <c r="L94" s="9">
        <v>764</v>
      </c>
      <c r="M94" s="6">
        <v>344886</v>
      </c>
      <c r="N94" s="6">
        <v>486881.46</v>
      </c>
      <c r="O94" s="6">
        <v>141995.46</v>
      </c>
      <c r="P94" s="8">
        <v>41.17</v>
      </c>
      <c r="Q94" s="7" t="s">
        <v>0</v>
      </c>
      <c r="R94" s="6">
        <v>0</v>
      </c>
      <c r="S94" s="6">
        <v>4199.55</v>
      </c>
    </row>
    <row r="95" spans="1:19" ht="18" customHeight="1" x14ac:dyDescent="0.3">
      <c r="A95" s="4" t="s">
        <v>355</v>
      </c>
      <c r="B95" s="2" t="s">
        <v>33</v>
      </c>
      <c r="C95" s="2" t="s">
        <v>4</v>
      </c>
      <c r="D95" s="2" t="s">
        <v>32</v>
      </c>
      <c r="E95" s="2" t="s">
        <v>7</v>
      </c>
      <c r="F95" s="2" t="s">
        <v>1</v>
      </c>
      <c r="G95" s="4">
        <v>179</v>
      </c>
      <c r="H95" s="1">
        <v>1838.27</v>
      </c>
      <c r="I95" s="1">
        <v>2177.71</v>
      </c>
      <c r="J95" s="5">
        <v>44788</v>
      </c>
      <c r="K95" s="5">
        <v>45407</v>
      </c>
      <c r="L95" s="4">
        <v>619</v>
      </c>
      <c r="M95" s="1">
        <v>329050.33</v>
      </c>
      <c r="N95" s="1">
        <v>389810.09</v>
      </c>
      <c r="O95" s="1">
        <v>60759.76</v>
      </c>
      <c r="P95" s="3">
        <v>18.47</v>
      </c>
      <c r="Q95" s="2" t="s">
        <v>0</v>
      </c>
      <c r="R95" s="1">
        <v>0</v>
      </c>
      <c r="S95" s="1">
        <v>0</v>
      </c>
    </row>
    <row r="96" spans="1:19" ht="18" customHeight="1" x14ac:dyDescent="0.3">
      <c r="A96" s="9" t="s">
        <v>354</v>
      </c>
      <c r="B96" s="7" t="s">
        <v>30</v>
      </c>
      <c r="C96" s="7" t="s">
        <v>29</v>
      </c>
      <c r="D96" s="7" t="s">
        <v>28</v>
      </c>
      <c r="E96" s="7" t="s">
        <v>27</v>
      </c>
      <c r="F96" s="7" t="s">
        <v>1</v>
      </c>
      <c r="G96" s="9">
        <v>393</v>
      </c>
      <c r="H96" s="6">
        <v>1842.77</v>
      </c>
      <c r="I96" s="6">
        <v>1719.53</v>
      </c>
      <c r="J96" s="10">
        <v>44915</v>
      </c>
      <c r="K96" s="10">
        <v>45128</v>
      </c>
      <c r="L96" s="9">
        <v>213</v>
      </c>
      <c r="M96" s="6">
        <v>724208.61</v>
      </c>
      <c r="N96" s="6">
        <v>675775.29</v>
      </c>
      <c r="O96" s="6">
        <v>-48433.32</v>
      </c>
      <c r="P96" s="8">
        <v>-6.69</v>
      </c>
      <c r="Q96" s="7" t="s">
        <v>26</v>
      </c>
      <c r="R96" s="6">
        <v>0</v>
      </c>
      <c r="S96" s="6">
        <v>0</v>
      </c>
    </row>
    <row r="97" spans="1:19" ht="18" customHeight="1" x14ac:dyDescent="0.3">
      <c r="A97" s="4" t="s">
        <v>353</v>
      </c>
      <c r="B97" s="2" t="s">
        <v>24</v>
      </c>
      <c r="C97" s="2" t="s">
        <v>23</v>
      </c>
      <c r="D97" s="2" t="s">
        <v>22</v>
      </c>
      <c r="E97" s="2" t="s">
        <v>7</v>
      </c>
      <c r="F97" s="2" t="s">
        <v>1</v>
      </c>
      <c r="G97" s="4">
        <v>401</v>
      </c>
      <c r="H97" s="1">
        <v>1436.38</v>
      </c>
      <c r="I97" s="1">
        <v>1405.13</v>
      </c>
      <c r="J97" s="5">
        <v>44488</v>
      </c>
      <c r="K97" s="5">
        <v>45089</v>
      </c>
      <c r="L97" s="4">
        <v>601</v>
      </c>
      <c r="M97" s="1">
        <v>575988.38</v>
      </c>
      <c r="N97" s="1">
        <v>563457.13</v>
      </c>
      <c r="O97" s="1">
        <v>-12531.25</v>
      </c>
      <c r="P97" s="3">
        <v>-2.1800000000000002</v>
      </c>
      <c r="Q97" s="2" t="s">
        <v>0</v>
      </c>
      <c r="R97" s="1">
        <v>0</v>
      </c>
      <c r="S97" s="1">
        <v>0</v>
      </c>
    </row>
    <row r="98" spans="1:19" ht="18" customHeight="1" x14ac:dyDescent="0.3">
      <c r="A98" s="9" t="s">
        <v>352</v>
      </c>
      <c r="B98" s="7" t="s">
        <v>20</v>
      </c>
      <c r="C98" s="7" t="s">
        <v>19</v>
      </c>
      <c r="D98" s="7" t="s">
        <v>18</v>
      </c>
      <c r="E98" s="7" t="s">
        <v>17</v>
      </c>
      <c r="F98" s="7" t="s">
        <v>1</v>
      </c>
      <c r="G98" s="9">
        <v>101</v>
      </c>
      <c r="H98" s="6">
        <v>905.39</v>
      </c>
      <c r="I98" s="6">
        <v>900.23</v>
      </c>
      <c r="J98" s="10">
        <v>45094</v>
      </c>
      <c r="K98" s="10">
        <v>45420</v>
      </c>
      <c r="L98" s="9">
        <v>326</v>
      </c>
      <c r="M98" s="6">
        <v>91444.39</v>
      </c>
      <c r="N98" s="6">
        <v>90923.23</v>
      </c>
      <c r="O98" s="6">
        <v>-521.16</v>
      </c>
      <c r="P98" s="8">
        <v>-0.56999999999999995</v>
      </c>
      <c r="Q98" s="7" t="s">
        <v>26</v>
      </c>
      <c r="R98" s="6">
        <v>0</v>
      </c>
      <c r="S98" s="6">
        <v>0</v>
      </c>
    </row>
    <row r="99" spans="1:19" ht="18" customHeight="1" x14ac:dyDescent="0.3">
      <c r="A99" s="4" t="s">
        <v>351</v>
      </c>
      <c r="B99" s="2" t="s">
        <v>15</v>
      </c>
      <c r="C99" s="2" t="s">
        <v>14</v>
      </c>
      <c r="D99" s="2" t="s">
        <v>13</v>
      </c>
      <c r="E99" s="2" t="s">
        <v>12</v>
      </c>
      <c r="F99" s="2" t="s">
        <v>1</v>
      </c>
      <c r="G99" s="4">
        <v>416</v>
      </c>
      <c r="H99" s="1">
        <v>883.6</v>
      </c>
      <c r="I99" s="1">
        <v>1236.3499999999999</v>
      </c>
      <c r="J99" s="5">
        <v>44533</v>
      </c>
      <c r="K99" s="5">
        <v>45276</v>
      </c>
      <c r="L99" s="4">
        <v>743</v>
      </c>
      <c r="M99" s="1">
        <v>367577.59999999998</v>
      </c>
      <c r="N99" s="1">
        <v>514321.6</v>
      </c>
      <c r="O99" s="1">
        <v>146744</v>
      </c>
      <c r="P99" s="3">
        <v>39.92</v>
      </c>
      <c r="Q99" s="2" t="s">
        <v>0</v>
      </c>
      <c r="R99" s="1">
        <v>0</v>
      </c>
      <c r="S99" s="1">
        <v>4674.3999999999996</v>
      </c>
    </row>
    <row r="100" spans="1:19" ht="18" customHeight="1" x14ac:dyDescent="0.3">
      <c r="A100" s="9" t="s">
        <v>350</v>
      </c>
      <c r="B100" s="7" t="s">
        <v>10</v>
      </c>
      <c r="C100" s="7" t="s">
        <v>9</v>
      </c>
      <c r="D100" s="7" t="s">
        <v>8</v>
      </c>
      <c r="E100" s="7" t="s">
        <v>7</v>
      </c>
      <c r="F100" s="7" t="s">
        <v>1</v>
      </c>
      <c r="G100" s="9">
        <v>97</v>
      </c>
      <c r="H100" s="6">
        <v>903.77</v>
      </c>
      <c r="I100" s="6">
        <v>1141.2</v>
      </c>
      <c r="J100" s="10">
        <v>44759</v>
      </c>
      <c r="K100" s="10">
        <v>44773</v>
      </c>
      <c r="L100" s="9">
        <v>14</v>
      </c>
      <c r="M100" s="6">
        <v>87665.69</v>
      </c>
      <c r="N100" s="6">
        <v>110696.4</v>
      </c>
      <c r="O100" s="6">
        <v>23030.71</v>
      </c>
      <c r="P100" s="8">
        <v>26.27</v>
      </c>
      <c r="Q100" s="7" t="s">
        <v>26</v>
      </c>
      <c r="R100" s="6">
        <v>3454.61</v>
      </c>
      <c r="S100" s="6">
        <v>0</v>
      </c>
    </row>
    <row r="101" spans="1:19" ht="18" customHeight="1" x14ac:dyDescent="0.3">
      <c r="A101" s="4" t="s">
        <v>349</v>
      </c>
      <c r="B101" s="2" t="s">
        <v>5</v>
      </c>
      <c r="C101" s="2" t="s">
        <v>4</v>
      </c>
      <c r="D101" s="2" t="s">
        <v>3</v>
      </c>
      <c r="E101" s="2" t="s">
        <v>2</v>
      </c>
      <c r="F101" s="2" t="s">
        <v>1</v>
      </c>
      <c r="G101" s="4">
        <v>112</v>
      </c>
      <c r="H101" s="1">
        <v>2787.59</v>
      </c>
      <c r="I101" s="1">
        <v>2817.84</v>
      </c>
      <c r="J101" s="5">
        <v>45034</v>
      </c>
      <c r="K101" s="5">
        <v>45221</v>
      </c>
      <c r="L101" s="4">
        <v>187</v>
      </c>
      <c r="M101" s="1">
        <v>312210.08</v>
      </c>
      <c r="N101" s="1">
        <v>315598.08000000002</v>
      </c>
      <c r="O101" s="1">
        <v>3388</v>
      </c>
      <c r="P101" s="3">
        <v>1.0900000000000001</v>
      </c>
      <c r="Q101" s="2" t="s">
        <v>26</v>
      </c>
      <c r="R101" s="1">
        <v>508.2</v>
      </c>
      <c r="S101" s="1">
        <v>0</v>
      </c>
    </row>
    <row r="102" spans="1:19" ht="18" customHeight="1" x14ac:dyDescent="0.3">
      <c r="A102" s="9" t="s">
        <v>348</v>
      </c>
      <c r="B102" s="7" t="s">
        <v>62</v>
      </c>
      <c r="C102" s="7" t="s">
        <v>29</v>
      </c>
      <c r="D102" s="7" t="s">
        <v>61</v>
      </c>
      <c r="E102" s="7" t="s">
        <v>60</v>
      </c>
      <c r="F102" s="7" t="s">
        <v>1</v>
      </c>
      <c r="G102" s="9">
        <v>337</v>
      </c>
      <c r="H102" s="6">
        <v>2747.42</v>
      </c>
      <c r="I102" s="6">
        <v>2608.91</v>
      </c>
      <c r="J102" s="10">
        <v>44539</v>
      </c>
      <c r="K102" s="10">
        <v>44823</v>
      </c>
      <c r="L102" s="9">
        <v>284</v>
      </c>
      <c r="M102" s="6">
        <v>925880.54</v>
      </c>
      <c r="N102" s="6">
        <v>879202.67</v>
      </c>
      <c r="O102" s="6">
        <v>-46677.87</v>
      </c>
      <c r="P102" s="8">
        <v>-5.04</v>
      </c>
      <c r="Q102" s="7" t="s">
        <v>26</v>
      </c>
      <c r="R102" s="6">
        <v>0</v>
      </c>
      <c r="S102" s="6">
        <v>0</v>
      </c>
    </row>
    <row r="103" spans="1:19" ht="18" customHeight="1" x14ac:dyDescent="0.3">
      <c r="A103" s="4" t="s">
        <v>347</v>
      </c>
      <c r="B103" s="2" t="s">
        <v>58</v>
      </c>
      <c r="C103" s="2" t="s">
        <v>23</v>
      </c>
      <c r="D103" s="2" t="s">
        <v>57</v>
      </c>
      <c r="E103" s="2" t="s">
        <v>56</v>
      </c>
      <c r="F103" s="2" t="s">
        <v>1</v>
      </c>
      <c r="G103" s="4">
        <v>106</v>
      </c>
      <c r="H103" s="1">
        <v>3108.83</v>
      </c>
      <c r="I103" s="1">
        <v>4269.17</v>
      </c>
      <c r="J103" s="5">
        <v>44512</v>
      </c>
      <c r="K103" s="5">
        <v>44675</v>
      </c>
      <c r="L103" s="4">
        <v>163</v>
      </c>
      <c r="M103" s="1">
        <v>329535.98</v>
      </c>
      <c r="N103" s="1">
        <v>452532.02</v>
      </c>
      <c r="O103" s="1">
        <v>122996.04</v>
      </c>
      <c r="P103" s="3">
        <v>37.32</v>
      </c>
      <c r="Q103" s="2" t="s">
        <v>26</v>
      </c>
      <c r="R103" s="1">
        <v>18449.41</v>
      </c>
      <c r="S103" s="1">
        <v>0</v>
      </c>
    </row>
    <row r="104" spans="1:19" ht="18" customHeight="1" x14ac:dyDescent="0.3">
      <c r="A104" s="9" t="s">
        <v>346</v>
      </c>
      <c r="B104" s="7" t="s">
        <v>54</v>
      </c>
      <c r="C104" s="7" t="s">
        <v>19</v>
      </c>
      <c r="D104" s="7" t="s">
        <v>53</v>
      </c>
      <c r="E104" s="7" t="s">
        <v>52</v>
      </c>
      <c r="F104" s="7" t="s">
        <v>1</v>
      </c>
      <c r="G104" s="9">
        <v>363</v>
      </c>
      <c r="H104" s="6">
        <v>1794.74</v>
      </c>
      <c r="I104" s="6">
        <v>1855.15</v>
      </c>
      <c r="J104" s="10">
        <v>44819</v>
      </c>
      <c r="K104" s="10">
        <v>45176</v>
      </c>
      <c r="L104" s="9">
        <v>357</v>
      </c>
      <c r="M104" s="6">
        <v>651490.62</v>
      </c>
      <c r="N104" s="6">
        <v>673419.45</v>
      </c>
      <c r="O104" s="6">
        <v>21928.83</v>
      </c>
      <c r="P104" s="8">
        <v>3.37</v>
      </c>
      <c r="Q104" s="7" t="s">
        <v>26</v>
      </c>
      <c r="R104" s="6">
        <v>3289.32</v>
      </c>
      <c r="S104" s="6">
        <v>0</v>
      </c>
    </row>
    <row r="105" spans="1:19" ht="18" customHeight="1" x14ac:dyDescent="0.3">
      <c r="A105" s="4" t="s">
        <v>345</v>
      </c>
      <c r="B105" s="2" t="s">
        <v>50</v>
      </c>
      <c r="C105" s="2" t="s">
        <v>14</v>
      </c>
      <c r="D105" s="2" t="s">
        <v>49</v>
      </c>
      <c r="E105" s="2" t="s">
        <v>48</v>
      </c>
      <c r="F105" s="2" t="s">
        <v>1</v>
      </c>
      <c r="G105" s="4">
        <v>262</v>
      </c>
      <c r="H105" s="1">
        <v>2883.32</v>
      </c>
      <c r="I105" s="1">
        <v>2477.8200000000002</v>
      </c>
      <c r="J105" s="5">
        <v>44654</v>
      </c>
      <c r="K105" s="5">
        <v>45210</v>
      </c>
      <c r="L105" s="4">
        <v>556</v>
      </c>
      <c r="M105" s="1">
        <v>755429.84</v>
      </c>
      <c r="N105" s="1">
        <v>649188.84</v>
      </c>
      <c r="O105" s="1">
        <v>-106241</v>
      </c>
      <c r="P105" s="3">
        <v>-14.06</v>
      </c>
      <c r="Q105" s="2" t="s">
        <v>0</v>
      </c>
      <c r="R105" s="1">
        <v>0</v>
      </c>
      <c r="S105" s="1">
        <v>0</v>
      </c>
    </row>
    <row r="106" spans="1:19" ht="18" customHeight="1" x14ac:dyDescent="0.3">
      <c r="A106" s="9" t="s">
        <v>344</v>
      </c>
      <c r="B106" s="7" t="s">
        <v>46</v>
      </c>
      <c r="C106" s="7" t="s">
        <v>9</v>
      </c>
      <c r="D106" s="7" t="s">
        <v>45</v>
      </c>
      <c r="E106" s="7" t="s">
        <v>44</v>
      </c>
      <c r="F106" s="7" t="s">
        <v>1</v>
      </c>
      <c r="G106" s="9">
        <v>209</v>
      </c>
      <c r="H106" s="6">
        <v>2437.1799999999998</v>
      </c>
      <c r="I106" s="6">
        <v>2252.37</v>
      </c>
      <c r="J106" s="10">
        <v>44758</v>
      </c>
      <c r="K106" s="10">
        <v>45145</v>
      </c>
      <c r="L106" s="9">
        <v>387</v>
      </c>
      <c r="M106" s="6">
        <v>509370.62</v>
      </c>
      <c r="N106" s="6">
        <v>470745.33</v>
      </c>
      <c r="O106" s="6">
        <v>-38625.29</v>
      </c>
      <c r="P106" s="8">
        <v>-7.58</v>
      </c>
      <c r="Q106" s="7" t="s">
        <v>0</v>
      </c>
      <c r="R106" s="6">
        <v>0</v>
      </c>
      <c r="S106" s="6">
        <v>0</v>
      </c>
    </row>
    <row r="107" spans="1:19" ht="18" customHeight="1" x14ac:dyDescent="0.3">
      <c r="A107" s="4" t="s">
        <v>343</v>
      </c>
      <c r="B107" s="2" t="s">
        <v>42</v>
      </c>
      <c r="C107" s="2" t="s">
        <v>4</v>
      </c>
      <c r="D107" s="2" t="s">
        <v>41</v>
      </c>
      <c r="E107" s="2" t="s">
        <v>12</v>
      </c>
      <c r="F107" s="2" t="s">
        <v>1</v>
      </c>
      <c r="G107" s="4">
        <v>111</v>
      </c>
      <c r="H107" s="1">
        <v>3316.14</v>
      </c>
      <c r="I107" s="1">
        <v>3288.48</v>
      </c>
      <c r="J107" s="5">
        <v>44508</v>
      </c>
      <c r="K107" s="5">
        <v>45360</v>
      </c>
      <c r="L107" s="4">
        <v>852</v>
      </c>
      <c r="M107" s="1">
        <v>368091.54</v>
      </c>
      <c r="N107" s="1">
        <v>365021.28</v>
      </c>
      <c r="O107" s="1">
        <v>-3070.26</v>
      </c>
      <c r="P107" s="3">
        <v>-0.83</v>
      </c>
      <c r="Q107" s="2" t="s">
        <v>0</v>
      </c>
      <c r="R107" s="1">
        <v>0</v>
      </c>
      <c r="S107" s="1">
        <v>0</v>
      </c>
    </row>
    <row r="108" spans="1:19" ht="18" customHeight="1" x14ac:dyDescent="0.3">
      <c r="A108" s="9" t="s">
        <v>342</v>
      </c>
      <c r="B108" s="7" t="s">
        <v>39</v>
      </c>
      <c r="C108" s="7" t="s">
        <v>29</v>
      </c>
      <c r="D108" s="7" t="s">
        <v>38</v>
      </c>
      <c r="E108" s="7" t="s">
        <v>7</v>
      </c>
      <c r="F108" s="7" t="s">
        <v>1</v>
      </c>
      <c r="G108" s="9">
        <v>78</v>
      </c>
      <c r="H108" s="6">
        <v>938.34</v>
      </c>
      <c r="I108" s="6">
        <v>657.33</v>
      </c>
      <c r="J108" s="10">
        <v>44815</v>
      </c>
      <c r="K108" s="10">
        <v>45396</v>
      </c>
      <c r="L108" s="9">
        <v>581</v>
      </c>
      <c r="M108" s="6">
        <v>73190.52</v>
      </c>
      <c r="N108" s="6">
        <v>51271.74</v>
      </c>
      <c r="O108" s="6">
        <v>-21918.78</v>
      </c>
      <c r="P108" s="8">
        <v>-29.95</v>
      </c>
      <c r="Q108" s="7" t="s">
        <v>0</v>
      </c>
      <c r="R108" s="6">
        <v>0</v>
      </c>
      <c r="S108" s="6">
        <v>0</v>
      </c>
    </row>
    <row r="109" spans="1:19" ht="18" customHeight="1" x14ac:dyDescent="0.3">
      <c r="A109" s="4" t="s">
        <v>341</v>
      </c>
      <c r="B109" s="2" t="s">
        <v>36</v>
      </c>
      <c r="C109" s="2" t="s">
        <v>23</v>
      </c>
      <c r="D109" s="2" t="s">
        <v>35</v>
      </c>
      <c r="E109" s="2" t="s">
        <v>12</v>
      </c>
      <c r="F109" s="2" t="s">
        <v>1</v>
      </c>
      <c r="G109" s="4">
        <v>117</v>
      </c>
      <c r="H109" s="1">
        <v>583.79</v>
      </c>
      <c r="I109" s="1">
        <v>554.02</v>
      </c>
      <c r="J109" s="5">
        <v>44386</v>
      </c>
      <c r="K109" s="5">
        <v>44504</v>
      </c>
      <c r="L109" s="4">
        <v>118</v>
      </c>
      <c r="M109" s="1">
        <v>68303.429999999993</v>
      </c>
      <c r="N109" s="1">
        <v>64820.34</v>
      </c>
      <c r="O109" s="1">
        <v>-3483.09</v>
      </c>
      <c r="P109" s="3">
        <v>-5.0999999999999996</v>
      </c>
      <c r="Q109" s="2" t="s">
        <v>26</v>
      </c>
      <c r="R109" s="1">
        <v>0</v>
      </c>
      <c r="S109" s="1">
        <v>0</v>
      </c>
    </row>
    <row r="110" spans="1:19" ht="18" customHeight="1" x14ac:dyDescent="0.3">
      <c r="A110" s="9" t="s">
        <v>340</v>
      </c>
      <c r="B110" s="7" t="s">
        <v>33</v>
      </c>
      <c r="C110" s="7" t="s">
        <v>19</v>
      </c>
      <c r="D110" s="7" t="s">
        <v>32</v>
      </c>
      <c r="E110" s="7" t="s">
        <v>7</v>
      </c>
      <c r="F110" s="7" t="s">
        <v>1</v>
      </c>
      <c r="G110" s="9">
        <v>455</v>
      </c>
      <c r="H110" s="6">
        <v>1407.19</v>
      </c>
      <c r="I110" s="6">
        <v>1255.08</v>
      </c>
      <c r="J110" s="10">
        <v>44906</v>
      </c>
      <c r="K110" s="10">
        <v>44946</v>
      </c>
      <c r="L110" s="9">
        <v>40</v>
      </c>
      <c r="M110" s="6">
        <v>640271.44999999995</v>
      </c>
      <c r="N110" s="6">
        <v>571061.4</v>
      </c>
      <c r="O110" s="6">
        <v>-69210.05</v>
      </c>
      <c r="P110" s="8">
        <v>-10.81</v>
      </c>
      <c r="Q110" s="7" t="s">
        <v>26</v>
      </c>
      <c r="R110" s="6">
        <v>0</v>
      </c>
      <c r="S110" s="6">
        <v>0</v>
      </c>
    </row>
    <row r="111" spans="1:19" ht="18" customHeight="1" x14ac:dyDescent="0.3">
      <c r="A111" s="4" t="s">
        <v>339</v>
      </c>
      <c r="B111" s="2" t="s">
        <v>30</v>
      </c>
      <c r="C111" s="2" t="s">
        <v>14</v>
      </c>
      <c r="D111" s="2" t="s">
        <v>28</v>
      </c>
      <c r="E111" s="2" t="s">
        <v>27</v>
      </c>
      <c r="F111" s="2" t="s">
        <v>1</v>
      </c>
      <c r="G111" s="4">
        <v>238</v>
      </c>
      <c r="H111" s="1">
        <v>2117.75</v>
      </c>
      <c r="I111" s="1">
        <v>1944.2</v>
      </c>
      <c r="J111" s="5">
        <v>44989</v>
      </c>
      <c r="K111" s="5">
        <v>45632</v>
      </c>
      <c r="L111" s="4">
        <v>643</v>
      </c>
      <c r="M111" s="1">
        <v>504024.5</v>
      </c>
      <c r="N111" s="1">
        <v>462719.6</v>
      </c>
      <c r="O111" s="1">
        <v>-41304.9</v>
      </c>
      <c r="P111" s="3">
        <v>-8.1999999999999993</v>
      </c>
      <c r="Q111" s="2" t="s">
        <v>0</v>
      </c>
      <c r="R111" s="1">
        <v>0</v>
      </c>
      <c r="S111" s="1">
        <v>0</v>
      </c>
    </row>
    <row r="112" spans="1:19" ht="18" customHeight="1" x14ac:dyDescent="0.3">
      <c r="A112" s="9" t="s">
        <v>338</v>
      </c>
      <c r="B112" s="7" t="s">
        <v>24</v>
      </c>
      <c r="C112" s="7" t="s">
        <v>9</v>
      </c>
      <c r="D112" s="7" t="s">
        <v>22</v>
      </c>
      <c r="E112" s="7" t="s">
        <v>7</v>
      </c>
      <c r="F112" s="7" t="s">
        <v>1</v>
      </c>
      <c r="G112" s="9">
        <v>322</v>
      </c>
      <c r="H112" s="6">
        <v>2727.2</v>
      </c>
      <c r="I112" s="6">
        <v>2013.71</v>
      </c>
      <c r="J112" s="10">
        <v>44483</v>
      </c>
      <c r="K112" s="10">
        <v>44706</v>
      </c>
      <c r="L112" s="9">
        <v>223</v>
      </c>
      <c r="M112" s="6">
        <v>878158.4</v>
      </c>
      <c r="N112" s="6">
        <v>648414.62</v>
      </c>
      <c r="O112" s="6">
        <v>-229743.78</v>
      </c>
      <c r="P112" s="8">
        <v>-26.16</v>
      </c>
      <c r="Q112" s="7" t="s">
        <v>26</v>
      </c>
      <c r="R112" s="6">
        <v>0</v>
      </c>
      <c r="S112" s="6">
        <v>0</v>
      </c>
    </row>
    <row r="113" spans="1:19" ht="18" customHeight="1" x14ac:dyDescent="0.3">
      <c r="A113" s="4" t="s">
        <v>337</v>
      </c>
      <c r="B113" s="2" t="s">
        <v>20</v>
      </c>
      <c r="C113" s="2" t="s">
        <v>4</v>
      </c>
      <c r="D113" s="2" t="s">
        <v>18</v>
      </c>
      <c r="E113" s="2" t="s">
        <v>17</v>
      </c>
      <c r="F113" s="2" t="s">
        <v>1</v>
      </c>
      <c r="G113" s="4">
        <v>307</v>
      </c>
      <c r="H113" s="1">
        <v>2769.48</v>
      </c>
      <c r="I113" s="1">
        <v>4399.3900000000003</v>
      </c>
      <c r="J113" s="5">
        <v>44684</v>
      </c>
      <c r="K113" s="5">
        <v>45470</v>
      </c>
      <c r="L113" s="4">
        <v>786</v>
      </c>
      <c r="M113" s="1">
        <v>850230.36</v>
      </c>
      <c r="N113" s="1">
        <v>1350612.73</v>
      </c>
      <c r="O113" s="1">
        <v>500382.37</v>
      </c>
      <c r="P113" s="3">
        <v>58.85</v>
      </c>
      <c r="Q113" s="2" t="s">
        <v>0</v>
      </c>
      <c r="R113" s="1">
        <v>0</v>
      </c>
      <c r="S113" s="1">
        <v>40038.239999999998</v>
      </c>
    </row>
    <row r="114" spans="1:19" ht="18" customHeight="1" x14ac:dyDescent="0.3">
      <c r="A114" s="9" t="s">
        <v>336</v>
      </c>
      <c r="B114" s="7" t="s">
        <v>15</v>
      </c>
      <c r="C114" s="7" t="s">
        <v>29</v>
      </c>
      <c r="D114" s="7" t="s">
        <v>13</v>
      </c>
      <c r="E114" s="7" t="s">
        <v>12</v>
      </c>
      <c r="F114" s="7" t="s">
        <v>1</v>
      </c>
      <c r="G114" s="9">
        <v>248</v>
      </c>
      <c r="H114" s="6">
        <v>359.94</v>
      </c>
      <c r="I114" s="6">
        <v>501.4</v>
      </c>
      <c r="J114" s="10">
        <v>44436</v>
      </c>
      <c r="K114" s="10">
        <v>44616</v>
      </c>
      <c r="L114" s="9">
        <v>180</v>
      </c>
      <c r="M114" s="6">
        <v>89265.12</v>
      </c>
      <c r="N114" s="6">
        <v>124347.2</v>
      </c>
      <c r="O114" s="6">
        <v>35082.080000000002</v>
      </c>
      <c r="P114" s="8">
        <v>39.299999999999997</v>
      </c>
      <c r="Q114" s="7" t="s">
        <v>26</v>
      </c>
      <c r="R114" s="6">
        <v>5262.31</v>
      </c>
      <c r="S114" s="6">
        <v>0</v>
      </c>
    </row>
    <row r="115" spans="1:19" ht="18" customHeight="1" x14ac:dyDescent="0.3">
      <c r="A115" s="4" t="s">
        <v>335</v>
      </c>
      <c r="B115" s="2" t="s">
        <v>10</v>
      </c>
      <c r="C115" s="2" t="s">
        <v>23</v>
      </c>
      <c r="D115" s="2" t="s">
        <v>8</v>
      </c>
      <c r="E115" s="2" t="s">
        <v>7</v>
      </c>
      <c r="F115" s="2" t="s">
        <v>1</v>
      </c>
      <c r="G115" s="4">
        <v>234</v>
      </c>
      <c r="H115" s="1">
        <v>370.93</v>
      </c>
      <c r="I115" s="1">
        <v>292.72000000000003</v>
      </c>
      <c r="J115" s="5">
        <v>44556</v>
      </c>
      <c r="K115" s="5">
        <v>45405</v>
      </c>
      <c r="L115" s="4">
        <v>849</v>
      </c>
      <c r="M115" s="1">
        <v>86797.62</v>
      </c>
      <c r="N115" s="1">
        <v>68496.479999999996</v>
      </c>
      <c r="O115" s="1">
        <v>-18301.14</v>
      </c>
      <c r="P115" s="3">
        <v>-21.08</v>
      </c>
      <c r="Q115" s="2" t="s">
        <v>0</v>
      </c>
      <c r="R115" s="1">
        <v>0</v>
      </c>
      <c r="S115" s="1">
        <v>0</v>
      </c>
    </row>
    <row r="116" spans="1:19" ht="18" customHeight="1" x14ac:dyDescent="0.3">
      <c r="A116" s="9" t="s">
        <v>334</v>
      </c>
      <c r="B116" s="7" t="s">
        <v>5</v>
      </c>
      <c r="C116" s="7" t="s">
        <v>19</v>
      </c>
      <c r="D116" s="7" t="s">
        <v>3</v>
      </c>
      <c r="E116" s="7" t="s">
        <v>2</v>
      </c>
      <c r="F116" s="7" t="s">
        <v>1</v>
      </c>
      <c r="G116" s="9">
        <v>95</v>
      </c>
      <c r="H116" s="6">
        <v>893.09</v>
      </c>
      <c r="I116" s="6">
        <v>691.44</v>
      </c>
      <c r="J116" s="10">
        <v>44408</v>
      </c>
      <c r="K116" s="10">
        <v>44584</v>
      </c>
      <c r="L116" s="9">
        <v>176</v>
      </c>
      <c r="M116" s="6">
        <v>84843.55</v>
      </c>
      <c r="N116" s="6">
        <v>65686.8</v>
      </c>
      <c r="O116" s="6">
        <v>-19156.75</v>
      </c>
      <c r="P116" s="8">
        <v>-22.58</v>
      </c>
      <c r="Q116" s="7" t="s">
        <v>26</v>
      </c>
      <c r="R116" s="6">
        <v>0</v>
      </c>
      <c r="S116" s="6">
        <v>0</v>
      </c>
    </row>
    <row r="117" spans="1:19" ht="18" customHeight="1" x14ac:dyDescent="0.3">
      <c r="A117" s="4" t="s">
        <v>333</v>
      </c>
      <c r="B117" s="2" t="s">
        <v>62</v>
      </c>
      <c r="C117" s="2" t="s">
        <v>14</v>
      </c>
      <c r="D117" s="2" t="s">
        <v>61</v>
      </c>
      <c r="E117" s="2" t="s">
        <v>60</v>
      </c>
      <c r="F117" s="2" t="s">
        <v>1</v>
      </c>
      <c r="G117" s="4">
        <v>22</v>
      </c>
      <c r="H117" s="1">
        <v>2366.7399999999998</v>
      </c>
      <c r="I117" s="1">
        <v>3531.88</v>
      </c>
      <c r="J117" s="5">
        <v>44933</v>
      </c>
      <c r="K117" s="5">
        <v>45536</v>
      </c>
      <c r="L117" s="4">
        <v>603</v>
      </c>
      <c r="M117" s="1">
        <v>52068.28</v>
      </c>
      <c r="N117" s="1">
        <v>77701.36</v>
      </c>
      <c r="O117" s="1">
        <v>25633.08</v>
      </c>
      <c r="P117" s="3">
        <v>49.23</v>
      </c>
      <c r="Q117" s="2" t="s">
        <v>0</v>
      </c>
      <c r="R117" s="1">
        <v>0</v>
      </c>
      <c r="S117" s="1">
        <v>0</v>
      </c>
    </row>
    <row r="118" spans="1:19" ht="18" customHeight="1" x14ac:dyDescent="0.3">
      <c r="A118" s="9" t="s">
        <v>332</v>
      </c>
      <c r="B118" s="7" t="s">
        <v>58</v>
      </c>
      <c r="C118" s="7" t="s">
        <v>9</v>
      </c>
      <c r="D118" s="7" t="s">
        <v>57</v>
      </c>
      <c r="E118" s="7" t="s">
        <v>56</v>
      </c>
      <c r="F118" s="7" t="s">
        <v>1</v>
      </c>
      <c r="G118" s="9">
        <v>36</v>
      </c>
      <c r="H118" s="6">
        <v>1997.29</v>
      </c>
      <c r="I118" s="6">
        <v>3045.82</v>
      </c>
      <c r="J118" s="10">
        <v>44477</v>
      </c>
      <c r="K118" s="10">
        <v>45126</v>
      </c>
      <c r="L118" s="9">
        <v>649</v>
      </c>
      <c r="M118" s="6">
        <v>71902.44</v>
      </c>
      <c r="N118" s="6">
        <v>109649.52</v>
      </c>
      <c r="O118" s="6">
        <v>37747.08</v>
      </c>
      <c r="P118" s="8">
        <v>52.5</v>
      </c>
      <c r="Q118" s="7" t="s">
        <v>0</v>
      </c>
      <c r="R118" s="6">
        <v>0</v>
      </c>
      <c r="S118" s="6">
        <v>0</v>
      </c>
    </row>
    <row r="119" spans="1:19" ht="18" customHeight="1" x14ac:dyDescent="0.3">
      <c r="A119" s="4" t="s">
        <v>331</v>
      </c>
      <c r="B119" s="2" t="s">
        <v>54</v>
      </c>
      <c r="C119" s="2" t="s">
        <v>4</v>
      </c>
      <c r="D119" s="2" t="s">
        <v>53</v>
      </c>
      <c r="E119" s="2" t="s">
        <v>52</v>
      </c>
      <c r="F119" s="2" t="s">
        <v>1</v>
      </c>
      <c r="G119" s="4">
        <v>122</v>
      </c>
      <c r="H119" s="1">
        <v>2496.66</v>
      </c>
      <c r="I119" s="1">
        <v>2199.21</v>
      </c>
      <c r="J119" s="5">
        <v>45059</v>
      </c>
      <c r="K119" s="5">
        <v>45376</v>
      </c>
      <c r="L119" s="4">
        <v>317</v>
      </c>
      <c r="M119" s="1">
        <v>304592.52</v>
      </c>
      <c r="N119" s="1">
        <v>268303.62</v>
      </c>
      <c r="O119" s="1">
        <v>-36288.9</v>
      </c>
      <c r="P119" s="3">
        <v>-11.91</v>
      </c>
      <c r="Q119" s="2" t="s">
        <v>26</v>
      </c>
      <c r="R119" s="1">
        <v>0</v>
      </c>
      <c r="S119" s="1">
        <v>0</v>
      </c>
    </row>
    <row r="120" spans="1:19" ht="18" customHeight="1" x14ac:dyDescent="0.3">
      <c r="A120" s="9" t="s">
        <v>330</v>
      </c>
      <c r="B120" s="7" t="s">
        <v>50</v>
      </c>
      <c r="C120" s="7" t="s">
        <v>29</v>
      </c>
      <c r="D120" s="7" t="s">
        <v>49</v>
      </c>
      <c r="E120" s="7" t="s">
        <v>48</v>
      </c>
      <c r="F120" s="7" t="s">
        <v>1</v>
      </c>
      <c r="G120" s="9">
        <v>55</v>
      </c>
      <c r="H120" s="6">
        <v>1777.98</v>
      </c>
      <c r="I120" s="6">
        <v>2207.61</v>
      </c>
      <c r="J120" s="10">
        <v>44383</v>
      </c>
      <c r="K120" s="10">
        <v>44705</v>
      </c>
      <c r="L120" s="9">
        <v>322</v>
      </c>
      <c r="M120" s="6">
        <v>97788.9</v>
      </c>
      <c r="N120" s="6">
        <v>121418.55</v>
      </c>
      <c r="O120" s="6">
        <v>23629.65</v>
      </c>
      <c r="P120" s="8">
        <v>24.16</v>
      </c>
      <c r="Q120" s="7" t="s">
        <v>26</v>
      </c>
      <c r="R120" s="6">
        <v>3544.45</v>
      </c>
      <c r="S120" s="6">
        <v>0</v>
      </c>
    </row>
    <row r="121" spans="1:19" ht="18" customHeight="1" x14ac:dyDescent="0.3">
      <c r="A121" s="4" t="s">
        <v>329</v>
      </c>
      <c r="B121" s="2" t="s">
        <v>46</v>
      </c>
      <c r="C121" s="2" t="s">
        <v>23</v>
      </c>
      <c r="D121" s="2" t="s">
        <v>45</v>
      </c>
      <c r="E121" s="2" t="s">
        <v>44</v>
      </c>
      <c r="F121" s="2" t="s">
        <v>1</v>
      </c>
      <c r="G121" s="4">
        <v>243</v>
      </c>
      <c r="H121" s="1">
        <v>1254.0899999999999</v>
      </c>
      <c r="I121" s="1">
        <v>1920.25</v>
      </c>
      <c r="J121" s="5">
        <v>44689</v>
      </c>
      <c r="K121" s="5">
        <v>44889</v>
      </c>
      <c r="L121" s="4">
        <v>200</v>
      </c>
      <c r="M121" s="1">
        <v>304743.87</v>
      </c>
      <c r="N121" s="1">
        <v>466620.75</v>
      </c>
      <c r="O121" s="1">
        <v>161876.88</v>
      </c>
      <c r="P121" s="3">
        <v>53.12</v>
      </c>
      <c r="Q121" s="2" t="s">
        <v>26</v>
      </c>
      <c r="R121" s="1">
        <v>24281.53</v>
      </c>
      <c r="S121" s="1">
        <v>0</v>
      </c>
    </row>
    <row r="122" spans="1:19" ht="18" customHeight="1" x14ac:dyDescent="0.3">
      <c r="A122" s="9" t="s">
        <v>328</v>
      </c>
      <c r="B122" s="7" t="s">
        <v>42</v>
      </c>
      <c r="C122" s="7" t="s">
        <v>19</v>
      </c>
      <c r="D122" s="7" t="s">
        <v>41</v>
      </c>
      <c r="E122" s="7" t="s">
        <v>12</v>
      </c>
      <c r="F122" s="7" t="s">
        <v>1</v>
      </c>
      <c r="G122" s="9">
        <v>166</v>
      </c>
      <c r="H122" s="6">
        <v>2775.15</v>
      </c>
      <c r="I122" s="6">
        <v>4327.3500000000004</v>
      </c>
      <c r="J122" s="10">
        <v>44334</v>
      </c>
      <c r="K122" s="10">
        <v>44820</v>
      </c>
      <c r="L122" s="9">
        <v>486</v>
      </c>
      <c r="M122" s="6">
        <v>460674.9</v>
      </c>
      <c r="N122" s="6">
        <v>718340.1</v>
      </c>
      <c r="O122" s="6">
        <v>257665.2</v>
      </c>
      <c r="P122" s="8">
        <v>55.93</v>
      </c>
      <c r="Q122" s="7" t="s">
        <v>0</v>
      </c>
      <c r="R122" s="6">
        <v>0</v>
      </c>
      <c r="S122" s="6">
        <v>15766.52</v>
      </c>
    </row>
    <row r="123" spans="1:19" ht="18" customHeight="1" x14ac:dyDescent="0.3">
      <c r="A123" s="4" t="s">
        <v>327</v>
      </c>
      <c r="B123" s="2" t="s">
        <v>39</v>
      </c>
      <c r="C123" s="2" t="s">
        <v>14</v>
      </c>
      <c r="D123" s="2" t="s">
        <v>38</v>
      </c>
      <c r="E123" s="2" t="s">
        <v>7</v>
      </c>
      <c r="F123" s="2" t="s">
        <v>1</v>
      </c>
      <c r="G123" s="4">
        <v>90</v>
      </c>
      <c r="H123" s="1">
        <v>1467.25</v>
      </c>
      <c r="I123" s="1">
        <v>1625.37</v>
      </c>
      <c r="J123" s="5">
        <v>44925</v>
      </c>
      <c r="K123" s="5">
        <v>45012</v>
      </c>
      <c r="L123" s="4">
        <v>87</v>
      </c>
      <c r="M123" s="1">
        <v>132052.5</v>
      </c>
      <c r="N123" s="1">
        <v>146283.29999999999</v>
      </c>
      <c r="O123" s="1">
        <v>14230.8</v>
      </c>
      <c r="P123" s="3">
        <v>10.78</v>
      </c>
      <c r="Q123" s="2" t="s">
        <v>26</v>
      </c>
      <c r="R123" s="1">
        <v>2134.62</v>
      </c>
      <c r="S123" s="1">
        <v>0</v>
      </c>
    </row>
    <row r="124" spans="1:19" ht="18" customHeight="1" x14ac:dyDescent="0.3">
      <c r="A124" s="9" t="s">
        <v>326</v>
      </c>
      <c r="B124" s="7" t="s">
        <v>36</v>
      </c>
      <c r="C124" s="7" t="s">
        <v>9</v>
      </c>
      <c r="D124" s="7" t="s">
        <v>35</v>
      </c>
      <c r="E124" s="7" t="s">
        <v>12</v>
      </c>
      <c r="F124" s="7" t="s">
        <v>1</v>
      </c>
      <c r="G124" s="9">
        <v>26</v>
      </c>
      <c r="H124" s="6">
        <v>2718.95</v>
      </c>
      <c r="I124" s="6">
        <v>3227.5</v>
      </c>
      <c r="J124" s="10">
        <v>44494</v>
      </c>
      <c r="K124" s="10">
        <v>44729</v>
      </c>
      <c r="L124" s="9">
        <v>235</v>
      </c>
      <c r="M124" s="6">
        <v>70692.7</v>
      </c>
      <c r="N124" s="6">
        <v>83915</v>
      </c>
      <c r="O124" s="6">
        <v>13222.3</v>
      </c>
      <c r="P124" s="8">
        <v>18.7</v>
      </c>
      <c r="Q124" s="7" t="s">
        <v>26</v>
      </c>
      <c r="R124" s="6">
        <v>1983.34</v>
      </c>
      <c r="S124" s="6">
        <v>0</v>
      </c>
    </row>
    <row r="125" spans="1:19" ht="18" customHeight="1" x14ac:dyDescent="0.3">
      <c r="A125" s="4" t="s">
        <v>325</v>
      </c>
      <c r="B125" s="2" t="s">
        <v>33</v>
      </c>
      <c r="C125" s="2" t="s">
        <v>4</v>
      </c>
      <c r="D125" s="2" t="s">
        <v>32</v>
      </c>
      <c r="E125" s="2" t="s">
        <v>7</v>
      </c>
      <c r="F125" s="2" t="s">
        <v>1</v>
      </c>
      <c r="G125" s="4">
        <v>288</v>
      </c>
      <c r="H125" s="1">
        <v>2404.5100000000002</v>
      </c>
      <c r="I125" s="1">
        <v>2735.35</v>
      </c>
      <c r="J125" s="5">
        <v>44415</v>
      </c>
      <c r="K125" s="5">
        <v>45272</v>
      </c>
      <c r="L125" s="4">
        <v>857</v>
      </c>
      <c r="M125" s="1">
        <v>692498.88</v>
      </c>
      <c r="N125" s="1">
        <v>787780.8</v>
      </c>
      <c r="O125" s="1">
        <v>95281.919999999998</v>
      </c>
      <c r="P125" s="3">
        <v>13.76</v>
      </c>
      <c r="Q125" s="2" t="s">
        <v>0</v>
      </c>
      <c r="R125" s="1">
        <v>0</v>
      </c>
      <c r="S125" s="1">
        <v>0</v>
      </c>
    </row>
    <row r="126" spans="1:19" ht="18" customHeight="1" x14ac:dyDescent="0.3">
      <c r="A126" s="9" t="s">
        <v>324</v>
      </c>
      <c r="B126" s="7" t="s">
        <v>30</v>
      </c>
      <c r="C126" s="7" t="s">
        <v>29</v>
      </c>
      <c r="D126" s="7" t="s">
        <v>28</v>
      </c>
      <c r="E126" s="7" t="s">
        <v>27</v>
      </c>
      <c r="F126" s="7" t="s">
        <v>1</v>
      </c>
      <c r="G126" s="9">
        <v>126</v>
      </c>
      <c r="H126" s="6">
        <v>3153.43</v>
      </c>
      <c r="I126" s="6">
        <v>3438.08</v>
      </c>
      <c r="J126" s="10">
        <v>44890</v>
      </c>
      <c r="K126" s="10">
        <v>45278</v>
      </c>
      <c r="L126" s="9">
        <v>388</v>
      </c>
      <c r="M126" s="6">
        <v>397332.18</v>
      </c>
      <c r="N126" s="6">
        <v>433198.08000000002</v>
      </c>
      <c r="O126" s="6">
        <v>35865.9</v>
      </c>
      <c r="P126" s="8">
        <v>9.0299999999999994</v>
      </c>
      <c r="Q126" s="7" t="s">
        <v>0</v>
      </c>
      <c r="R126" s="6">
        <v>0</v>
      </c>
      <c r="S126" s="6">
        <v>0</v>
      </c>
    </row>
    <row r="127" spans="1:19" ht="18" customHeight="1" x14ac:dyDescent="0.3">
      <c r="A127" s="4" t="s">
        <v>323</v>
      </c>
      <c r="B127" s="2" t="s">
        <v>24</v>
      </c>
      <c r="C127" s="2" t="s">
        <v>23</v>
      </c>
      <c r="D127" s="2" t="s">
        <v>22</v>
      </c>
      <c r="E127" s="2" t="s">
        <v>7</v>
      </c>
      <c r="F127" s="2" t="s">
        <v>1</v>
      </c>
      <c r="G127" s="4">
        <v>193</v>
      </c>
      <c r="H127" s="1">
        <v>2418.17</v>
      </c>
      <c r="I127" s="1">
        <v>1875.31</v>
      </c>
      <c r="J127" s="5">
        <v>44702</v>
      </c>
      <c r="K127" s="5">
        <v>44728</v>
      </c>
      <c r="L127" s="4">
        <v>26</v>
      </c>
      <c r="M127" s="1">
        <v>466706.81</v>
      </c>
      <c r="N127" s="1">
        <v>361934.83</v>
      </c>
      <c r="O127" s="1">
        <v>-104771.98</v>
      </c>
      <c r="P127" s="3">
        <v>-22.45</v>
      </c>
      <c r="Q127" s="2" t="s">
        <v>26</v>
      </c>
      <c r="R127" s="1">
        <v>0</v>
      </c>
      <c r="S127" s="1">
        <v>0</v>
      </c>
    </row>
    <row r="128" spans="1:19" ht="18" customHeight="1" x14ac:dyDescent="0.3">
      <c r="A128" s="9" t="s">
        <v>322</v>
      </c>
      <c r="B128" s="7" t="s">
        <v>20</v>
      </c>
      <c r="C128" s="7" t="s">
        <v>19</v>
      </c>
      <c r="D128" s="7" t="s">
        <v>18</v>
      </c>
      <c r="E128" s="7" t="s">
        <v>17</v>
      </c>
      <c r="F128" s="7" t="s">
        <v>1</v>
      </c>
      <c r="G128" s="9">
        <v>488</v>
      </c>
      <c r="H128" s="6">
        <v>1683.96</v>
      </c>
      <c r="I128" s="6">
        <v>1701</v>
      </c>
      <c r="J128" s="10">
        <v>44999</v>
      </c>
      <c r="K128" s="10">
        <v>45803</v>
      </c>
      <c r="L128" s="9">
        <v>804</v>
      </c>
      <c r="M128" s="6">
        <v>821772.48</v>
      </c>
      <c r="N128" s="6">
        <v>830088</v>
      </c>
      <c r="O128" s="6">
        <v>8315.52</v>
      </c>
      <c r="P128" s="8">
        <v>1.01</v>
      </c>
      <c r="Q128" s="7" t="s">
        <v>0</v>
      </c>
      <c r="R128" s="6">
        <v>0</v>
      </c>
      <c r="S128" s="6">
        <v>0</v>
      </c>
    </row>
    <row r="129" spans="1:19" ht="18" customHeight="1" x14ac:dyDescent="0.3">
      <c r="A129" s="4" t="s">
        <v>321</v>
      </c>
      <c r="B129" s="2" t="s">
        <v>15</v>
      </c>
      <c r="C129" s="2" t="s">
        <v>14</v>
      </c>
      <c r="D129" s="2" t="s">
        <v>13</v>
      </c>
      <c r="E129" s="2" t="s">
        <v>12</v>
      </c>
      <c r="F129" s="2" t="s">
        <v>1</v>
      </c>
      <c r="G129" s="4">
        <v>123</v>
      </c>
      <c r="H129" s="1">
        <v>2976.98</v>
      </c>
      <c r="I129" s="1">
        <v>2371.92</v>
      </c>
      <c r="J129" s="5">
        <v>45031</v>
      </c>
      <c r="K129" s="5">
        <v>45906</v>
      </c>
      <c r="L129" s="4">
        <v>875</v>
      </c>
      <c r="M129" s="1">
        <v>366168.54</v>
      </c>
      <c r="N129" s="1">
        <v>291746.15999999997</v>
      </c>
      <c r="O129" s="1">
        <v>-74422.38</v>
      </c>
      <c r="P129" s="3">
        <v>-20.32</v>
      </c>
      <c r="Q129" s="2" t="s">
        <v>0</v>
      </c>
      <c r="R129" s="1">
        <v>0</v>
      </c>
      <c r="S129" s="1">
        <v>0</v>
      </c>
    </row>
    <row r="130" spans="1:19" ht="18" customHeight="1" x14ac:dyDescent="0.3">
      <c r="A130" s="9" t="s">
        <v>320</v>
      </c>
      <c r="B130" s="7" t="s">
        <v>10</v>
      </c>
      <c r="C130" s="7" t="s">
        <v>9</v>
      </c>
      <c r="D130" s="7" t="s">
        <v>8</v>
      </c>
      <c r="E130" s="7" t="s">
        <v>7</v>
      </c>
      <c r="F130" s="7" t="s">
        <v>1</v>
      </c>
      <c r="G130" s="9">
        <v>459</v>
      </c>
      <c r="H130" s="6">
        <v>1357.68</v>
      </c>
      <c r="I130" s="6">
        <v>1812.7</v>
      </c>
      <c r="J130" s="10">
        <v>44497</v>
      </c>
      <c r="K130" s="10">
        <v>45264</v>
      </c>
      <c r="L130" s="9">
        <v>767</v>
      </c>
      <c r="M130" s="6">
        <v>623175.12</v>
      </c>
      <c r="N130" s="6">
        <v>832029.3</v>
      </c>
      <c r="O130" s="6">
        <v>208854.18</v>
      </c>
      <c r="P130" s="8">
        <v>33.51</v>
      </c>
      <c r="Q130" s="7" t="s">
        <v>0</v>
      </c>
      <c r="R130" s="6">
        <v>0</v>
      </c>
      <c r="S130" s="6">
        <v>10885.42</v>
      </c>
    </row>
    <row r="131" spans="1:19" ht="18" customHeight="1" x14ac:dyDescent="0.3">
      <c r="A131" s="4" t="s">
        <v>319</v>
      </c>
      <c r="B131" s="2" t="s">
        <v>5</v>
      </c>
      <c r="C131" s="2" t="s">
        <v>4</v>
      </c>
      <c r="D131" s="2" t="s">
        <v>3</v>
      </c>
      <c r="E131" s="2" t="s">
        <v>2</v>
      </c>
      <c r="F131" s="2" t="s">
        <v>1</v>
      </c>
      <c r="G131" s="4">
        <v>59</v>
      </c>
      <c r="H131" s="1">
        <v>2480.23</v>
      </c>
      <c r="I131" s="1">
        <v>2047.92</v>
      </c>
      <c r="J131" s="5">
        <v>44432</v>
      </c>
      <c r="K131" s="5">
        <v>45305</v>
      </c>
      <c r="L131" s="4">
        <v>873</v>
      </c>
      <c r="M131" s="1">
        <v>146333.57</v>
      </c>
      <c r="N131" s="1">
        <v>120827.28</v>
      </c>
      <c r="O131" s="1">
        <v>-25506.29</v>
      </c>
      <c r="P131" s="3">
        <v>-17.43</v>
      </c>
      <c r="Q131" s="2" t="s">
        <v>0</v>
      </c>
      <c r="R131" s="1">
        <v>0</v>
      </c>
      <c r="S131" s="1">
        <v>0</v>
      </c>
    </row>
    <row r="132" spans="1:19" ht="18" customHeight="1" x14ac:dyDescent="0.3">
      <c r="A132" s="9" t="s">
        <v>318</v>
      </c>
      <c r="B132" s="7" t="s">
        <v>62</v>
      </c>
      <c r="C132" s="7" t="s">
        <v>29</v>
      </c>
      <c r="D132" s="7" t="s">
        <v>61</v>
      </c>
      <c r="E132" s="7" t="s">
        <v>60</v>
      </c>
      <c r="F132" s="7" t="s">
        <v>1</v>
      </c>
      <c r="G132" s="9">
        <v>143</v>
      </c>
      <c r="H132" s="6">
        <v>1269.95</v>
      </c>
      <c r="I132" s="6">
        <v>1498.26</v>
      </c>
      <c r="J132" s="10">
        <v>44929</v>
      </c>
      <c r="K132" s="10">
        <v>45134</v>
      </c>
      <c r="L132" s="9">
        <v>205</v>
      </c>
      <c r="M132" s="6">
        <v>181602.85</v>
      </c>
      <c r="N132" s="6">
        <v>214251.18</v>
      </c>
      <c r="O132" s="6">
        <v>32648.33</v>
      </c>
      <c r="P132" s="8">
        <v>17.98</v>
      </c>
      <c r="Q132" s="7" t="s">
        <v>26</v>
      </c>
      <c r="R132" s="6">
        <v>4897.25</v>
      </c>
      <c r="S132" s="6">
        <v>0</v>
      </c>
    </row>
    <row r="133" spans="1:19" ht="18" customHeight="1" x14ac:dyDescent="0.3">
      <c r="A133" s="4" t="s">
        <v>317</v>
      </c>
      <c r="B133" s="2" t="s">
        <v>58</v>
      </c>
      <c r="C133" s="2" t="s">
        <v>23</v>
      </c>
      <c r="D133" s="2" t="s">
        <v>57</v>
      </c>
      <c r="E133" s="2" t="s">
        <v>56</v>
      </c>
      <c r="F133" s="2" t="s">
        <v>1</v>
      </c>
      <c r="G133" s="4">
        <v>335</v>
      </c>
      <c r="H133" s="1">
        <v>1177.53</v>
      </c>
      <c r="I133" s="1">
        <v>1047.67</v>
      </c>
      <c r="J133" s="5">
        <v>45088</v>
      </c>
      <c r="K133" s="5">
        <v>45421</v>
      </c>
      <c r="L133" s="4">
        <v>333</v>
      </c>
      <c r="M133" s="1">
        <v>394472.55</v>
      </c>
      <c r="N133" s="1">
        <v>350969.45</v>
      </c>
      <c r="O133" s="1">
        <v>-43503.1</v>
      </c>
      <c r="P133" s="3">
        <v>-11.03</v>
      </c>
      <c r="Q133" s="2" t="s">
        <v>26</v>
      </c>
      <c r="R133" s="1">
        <v>0</v>
      </c>
      <c r="S133" s="1">
        <v>0</v>
      </c>
    </row>
    <row r="134" spans="1:19" ht="18" customHeight="1" x14ac:dyDescent="0.3">
      <c r="A134" s="9" t="s">
        <v>316</v>
      </c>
      <c r="B134" s="7" t="s">
        <v>54</v>
      </c>
      <c r="C134" s="7" t="s">
        <v>19</v>
      </c>
      <c r="D134" s="7" t="s">
        <v>53</v>
      </c>
      <c r="E134" s="7" t="s">
        <v>52</v>
      </c>
      <c r="F134" s="7" t="s">
        <v>1</v>
      </c>
      <c r="G134" s="9">
        <v>167</v>
      </c>
      <c r="H134" s="6">
        <v>1181.67</v>
      </c>
      <c r="I134" s="6">
        <v>1432.1</v>
      </c>
      <c r="J134" s="10">
        <v>44348</v>
      </c>
      <c r="K134" s="10">
        <v>45106</v>
      </c>
      <c r="L134" s="9">
        <v>758</v>
      </c>
      <c r="M134" s="6">
        <v>197338.89</v>
      </c>
      <c r="N134" s="6">
        <v>239160.7</v>
      </c>
      <c r="O134" s="6">
        <v>41821.81</v>
      </c>
      <c r="P134" s="8">
        <v>21.19</v>
      </c>
      <c r="Q134" s="7" t="s">
        <v>0</v>
      </c>
      <c r="R134" s="6">
        <v>0</v>
      </c>
      <c r="S134" s="6">
        <v>0</v>
      </c>
    </row>
    <row r="135" spans="1:19" ht="18" customHeight="1" x14ac:dyDescent="0.3">
      <c r="A135" s="4" t="s">
        <v>315</v>
      </c>
      <c r="B135" s="2" t="s">
        <v>50</v>
      </c>
      <c r="C135" s="2" t="s">
        <v>14</v>
      </c>
      <c r="D135" s="2" t="s">
        <v>49</v>
      </c>
      <c r="E135" s="2" t="s">
        <v>48</v>
      </c>
      <c r="F135" s="2" t="s">
        <v>1</v>
      </c>
      <c r="G135" s="4">
        <v>270</v>
      </c>
      <c r="H135" s="1">
        <v>746.77</v>
      </c>
      <c r="I135" s="1">
        <v>525.08000000000004</v>
      </c>
      <c r="J135" s="5">
        <v>44633</v>
      </c>
      <c r="K135" s="5">
        <v>44689</v>
      </c>
      <c r="L135" s="4">
        <v>56</v>
      </c>
      <c r="M135" s="1">
        <v>201627.9</v>
      </c>
      <c r="N135" s="1">
        <v>141771.6</v>
      </c>
      <c r="O135" s="1">
        <v>-59856.3</v>
      </c>
      <c r="P135" s="3">
        <v>-29.69</v>
      </c>
      <c r="Q135" s="2" t="s">
        <v>26</v>
      </c>
      <c r="R135" s="1">
        <v>0</v>
      </c>
      <c r="S135" s="1">
        <v>0</v>
      </c>
    </row>
    <row r="136" spans="1:19" ht="18" customHeight="1" x14ac:dyDescent="0.3">
      <c r="A136" s="9" t="s">
        <v>314</v>
      </c>
      <c r="B136" s="7" t="s">
        <v>46</v>
      </c>
      <c r="C136" s="7" t="s">
        <v>9</v>
      </c>
      <c r="D136" s="7" t="s">
        <v>45</v>
      </c>
      <c r="E136" s="7" t="s">
        <v>44</v>
      </c>
      <c r="F136" s="7" t="s">
        <v>1</v>
      </c>
      <c r="G136" s="9">
        <v>458</v>
      </c>
      <c r="H136" s="6">
        <v>2043.45</v>
      </c>
      <c r="I136" s="6">
        <v>2067.4899999999998</v>
      </c>
      <c r="J136" s="10">
        <v>45048</v>
      </c>
      <c r="K136" s="10">
        <v>45054</v>
      </c>
      <c r="L136" s="9">
        <v>6</v>
      </c>
      <c r="M136" s="6">
        <v>935900.1</v>
      </c>
      <c r="N136" s="6">
        <v>946910.42</v>
      </c>
      <c r="O136" s="6">
        <v>11010.32</v>
      </c>
      <c r="P136" s="8">
        <v>1.18</v>
      </c>
      <c r="Q136" s="7" t="s">
        <v>26</v>
      </c>
      <c r="R136" s="6">
        <v>1651.55</v>
      </c>
      <c r="S136" s="6">
        <v>0</v>
      </c>
    </row>
    <row r="137" spans="1:19" ht="18" customHeight="1" x14ac:dyDescent="0.3">
      <c r="A137" s="4" t="s">
        <v>313</v>
      </c>
      <c r="B137" s="2" t="s">
        <v>42</v>
      </c>
      <c r="C137" s="2" t="s">
        <v>4</v>
      </c>
      <c r="D137" s="2" t="s">
        <v>41</v>
      </c>
      <c r="E137" s="2" t="s">
        <v>12</v>
      </c>
      <c r="F137" s="2" t="s">
        <v>1</v>
      </c>
      <c r="G137" s="4">
        <v>470</v>
      </c>
      <c r="H137" s="1">
        <v>1281.1400000000001</v>
      </c>
      <c r="I137" s="1">
        <v>1531</v>
      </c>
      <c r="J137" s="5">
        <v>44975</v>
      </c>
      <c r="K137" s="5">
        <v>45239</v>
      </c>
      <c r="L137" s="4">
        <v>264</v>
      </c>
      <c r="M137" s="1">
        <v>602135.80000000005</v>
      </c>
      <c r="N137" s="1">
        <v>719570</v>
      </c>
      <c r="O137" s="1">
        <v>117434.2</v>
      </c>
      <c r="P137" s="3">
        <v>19.5</v>
      </c>
      <c r="Q137" s="2" t="s">
        <v>26</v>
      </c>
      <c r="R137" s="1">
        <v>17615.13</v>
      </c>
      <c r="S137" s="1">
        <v>0</v>
      </c>
    </row>
    <row r="138" spans="1:19" ht="18" customHeight="1" x14ac:dyDescent="0.3">
      <c r="A138" s="9" t="s">
        <v>312</v>
      </c>
      <c r="B138" s="7" t="s">
        <v>39</v>
      </c>
      <c r="C138" s="7" t="s">
        <v>29</v>
      </c>
      <c r="D138" s="7" t="s">
        <v>38</v>
      </c>
      <c r="E138" s="7" t="s">
        <v>7</v>
      </c>
      <c r="F138" s="7" t="s">
        <v>1</v>
      </c>
      <c r="G138" s="9">
        <v>109</v>
      </c>
      <c r="H138" s="6">
        <v>891.55</v>
      </c>
      <c r="I138" s="6">
        <v>629.04999999999995</v>
      </c>
      <c r="J138" s="10">
        <v>44793</v>
      </c>
      <c r="K138" s="10">
        <v>44814</v>
      </c>
      <c r="L138" s="9">
        <v>21</v>
      </c>
      <c r="M138" s="6">
        <v>97178.95</v>
      </c>
      <c r="N138" s="6">
        <v>68566.45</v>
      </c>
      <c r="O138" s="6">
        <v>-28612.5</v>
      </c>
      <c r="P138" s="8">
        <v>-29.44</v>
      </c>
      <c r="Q138" s="7" t="s">
        <v>26</v>
      </c>
      <c r="R138" s="6">
        <v>0</v>
      </c>
      <c r="S138" s="6">
        <v>0</v>
      </c>
    </row>
    <row r="139" spans="1:19" ht="18" customHeight="1" x14ac:dyDescent="0.3">
      <c r="A139" s="4" t="s">
        <v>311</v>
      </c>
      <c r="B139" s="2" t="s">
        <v>36</v>
      </c>
      <c r="C139" s="2" t="s">
        <v>23</v>
      </c>
      <c r="D139" s="2" t="s">
        <v>35</v>
      </c>
      <c r="E139" s="2" t="s">
        <v>12</v>
      </c>
      <c r="F139" s="2" t="s">
        <v>1</v>
      </c>
      <c r="G139" s="4">
        <v>445</v>
      </c>
      <c r="H139" s="1">
        <v>2685.54</v>
      </c>
      <c r="I139" s="1">
        <v>3705.6</v>
      </c>
      <c r="J139" s="5">
        <v>44319</v>
      </c>
      <c r="K139" s="5">
        <v>44742</v>
      </c>
      <c r="L139" s="4">
        <v>423</v>
      </c>
      <c r="M139" s="1">
        <v>1195065.3</v>
      </c>
      <c r="N139" s="1">
        <v>1648992</v>
      </c>
      <c r="O139" s="1">
        <v>453926.7</v>
      </c>
      <c r="P139" s="3">
        <v>37.979999999999997</v>
      </c>
      <c r="Q139" s="2" t="s">
        <v>0</v>
      </c>
      <c r="R139" s="1">
        <v>0</v>
      </c>
      <c r="S139" s="1">
        <v>35392.67</v>
      </c>
    </row>
    <row r="140" spans="1:19" ht="18" customHeight="1" x14ac:dyDescent="0.3">
      <c r="A140" s="9" t="s">
        <v>310</v>
      </c>
      <c r="B140" s="7" t="s">
        <v>33</v>
      </c>
      <c r="C140" s="7" t="s">
        <v>19</v>
      </c>
      <c r="D140" s="7" t="s">
        <v>32</v>
      </c>
      <c r="E140" s="7" t="s">
        <v>7</v>
      </c>
      <c r="F140" s="7" t="s">
        <v>1</v>
      </c>
      <c r="G140" s="9">
        <v>293</v>
      </c>
      <c r="H140" s="6">
        <v>3106.66</v>
      </c>
      <c r="I140" s="6">
        <v>4536.01</v>
      </c>
      <c r="J140" s="10">
        <v>44899</v>
      </c>
      <c r="K140" s="10">
        <v>45687</v>
      </c>
      <c r="L140" s="9">
        <v>788</v>
      </c>
      <c r="M140" s="6">
        <v>910251.38</v>
      </c>
      <c r="N140" s="6">
        <v>1329050.93</v>
      </c>
      <c r="O140" s="6">
        <v>418799.55</v>
      </c>
      <c r="P140" s="8">
        <v>46.01</v>
      </c>
      <c r="Q140" s="7" t="s">
        <v>0</v>
      </c>
      <c r="R140" s="6">
        <v>0</v>
      </c>
      <c r="S140" s="6">
        <v>31879.96</v>
      </c>
    </row>
    <row r="141" spans="1:19" ht="18" customHeight="1" x14ac:dyDescent="0.3">
      <c r="A141" s="4" t="s">
        <v>309</v>
      </c>
      <c r="B141" s="2" t="s">
        <v>30</v>
      </c>
      <c r="C141" s="2" t="s">
        <v>14</v>
      </c>
      <c r="D141" s="2" t="s">
        <v>28</v>
      </c>
      <c r="E141" s="2" t="s">
        <v>27</v>
      </c>
      <c r="F141" s="2" t="s">
        <v>1</v>
      </c>
      <c r="G141" s="4">
        <v>114</v>
      </c>
      <c r="H141" s="1">
        <v>1415.95</v>
      </c>
      <c r="I141" s="1">
        <v>1904.01</v>
      </c>
      <c r="J141" s="5">
        <v>44667</v>
      </c>
      <c r="K141" s="5">
        <v>45401</v>
      </c>
      <c r="L141" s="4">
        <v>734</v>
      </c>
      <c r="M141" s="1">
        <v>161418.29999999999</v>
      </c>
      <c r="N141" s="1">
        <v>217057.14</v>
      </c>
      <c r="O141" s="1">
        <v>55638.84</v>
      </c>
      <c r="P141" s="3">
        <v>34.47</v>
      </c>
      <c r="Q141" s="2" t="s">
        <v>0</v>
      </c>
      <c r="R141" s="1">
        <v>0</v>
      </c>
      <c r="S141" s="1">
        <v>0</v>
      </c>
    </row>
    <row r="142" spans="1:19" ht="18" customHeight="1" x14ac:dyDescent="0.3">
      <c r="A142" s="9" t="s">
        <v>308</v>
      </c>
      <c r="B142" s="7" t="s">
        <v>24</v>
      </c>
      <c r="C142" s="7" t="s">
        <v>9</v>
      </c>
      <c r="D142" s="7" t="s">
        <v>22</v>
      </c>
      <c r="E142" s="7" t="s">
        <v>7</v>
      </c>
      <c r="F142" s="7" t="s">
        <v>1</v>
      </c>
      <c r="G142" s="9">
        <v>24</v>
      </c>
      <c r="H142" s="6">
        <v>1831.24</v>
      </c>
      <c r="I142" s="6">
        <v>2617.56</v>
      </c>
      <c r="J142" s="10">
        <v>44537</v>
      </c>
      <c r="K142" s="10">
        <v>44601</v>
      </c>
      <c r="L142" s="9">
        <v>64</v>
      </c>
      <c r="M142" s="6">
        <v>43949.760000000002</v>
      </c>
      <c r="N142" s="6">
        <v>62821.440000000002</v>
      </c>
      <c r="O142" s="6">
        <v>18871.68</v>
      </c>
      <c r="P142" s="8">
        <v>42.94</v>
      </c>
      <c r="Q142" s="7" t="s">
        <v>26</v>
      </c>
      <c r="R142" s="6">
        <v>2830.75</v>
      </c>
      <c r="S142" s="6">
        <v>0</v>
      </c>
    </row>
    <row r="143" spans="1:19" ht="18" customHeight="1" x14ac:dyDescent="0.3">
      <c r="A143" s="4" t="s">
        <v>307</v>
      </c>
      <c r="B143" s="2" t="s">
        <v>20</v>
      </c>
      <c r="C143" s="2" t="s">
        <v>4</v>
      </c>
      <c r="D143" s="2" t="s">
        <v>18</v>
      </c>
      <c r="E143" s="2" t="s">
        <v>17</v>
      </c>
      <c r="F143" s="2" t="s">
        <v>1</v>
      </c>
      <c r="G143" s="4">
        <v>398</v>
      </c>
      <c r="H143" s="1">
        <v>3277.12</v>
      </c>
      <c r="I143" s="1">
        <v>3800.5</v>
      </c>
      <c r="J143" s="5">
        <v>44800</v>
      </c>
      <c r="K143" s="5">
        <v>45147</v>
      </c>
      <c r="L143" s="4">
        <v>347</v>
      </c>
      <c r="M143" s="1">
        <v>1304293.76</v>
      </c>
      <c r="N143" s="1">
        <v>1512599</v>
      </c>
      <c r="O143" s="1">
        <v>208305.24</v>
      </c>
      <c r="P143" s="3">
        <v>15.97</v>
      </c>
      <c r="Q143" s="2" t="s">
        <v>26</v>
      </c>
      <c r="R143" s="1">
        <v>31245.79</v>
      </c>
      <c r="S143" s="1">
        <v>0</v>
      </c>
    </row>
    <row r="144" spans="1:19" ht="18" customHeight="1" x14ac:dyDescent="0.3">
      <c r="A144" s="9" t="s">
        <v>306</v>
      </c>
      <c r="B144" s="7" t="s">
        <v>15</v>
      </c>
      <c r="C144" s="7" t="s">
        <v>29</v>
      </c>
      <c r="D144" s="7" t="s">
        <v>13</v>
      </c>
      <c r="E144" s="7" t="s">
        <v>12</v>
      </c>
      <c r="F144" s="7" t="s">
        <v>1</v>
      </c>
      <c r="G144" s="9">
        <v>291</v>
      </c>
      <c r="H144" s="6">
        <v>1535.56</v>
      </c>
      <c r="I144" s="6">
        <v>2079.25</v>
      </c>
      <c r="J144" s="10">
        <v>44973</v>
      </c>
      <c r="K144" s="10">
        <v>45509</v>
      </c>
      <c r="L144" s="9">
        <v>536</v>
      </c>
      <c r="M144" s="6">
        <v>446847.96</v>
      </c>
      <c r="N144" s="6">
        <v>605061.75</v>
      </c>
      <c r="O144" s="6">
        <v>158213.79</v>
      </c>
      <c r="P144" s="8">
        <v>35.409999999999997</v>
      </c>
      <c r="Q144" s="7" t="s">
        <v>0</v>
      </c>
      <c r="R144" s="6">
        <v>0</v>
      </c>
      <c r="S144" s="6">
        <v>5821.38</v>
      </c>
    </row>
    <row r="145" spans="1:19" ht="18" customHeight="1" x14ac:dyDescent="0.3">
      <c r="A145" s="4" t="s">
        <v>305</v>
      </c>
      <c r="B145" s="2" t="s">
        <v>10</v>
      </c>
      <c r="C145" s="2" t="s">
        <v>23</v>
      </c>
      <c r="D145" s="2" t="s">
        <v>8</v>
      </c>
      <c r="E145" s="2" t="s">
        <v>7</v>
      </c>
      <c r="F145" s="2" t="s">
        <v>1</v>
      </c>
      <c r="G145" s="4">
        <v>64</v>
      </c>
      <c r="H145" s="1">
        <v>2443.02</v>
      </c>
      <c r="I145" s="1">
        <v>2424.46</v>
      </c>
      <c r="J145" s="5">
        <v>44524</v>
      </c>
      <c r="K145" s="5">
        <v>45325</v>
      </c>
      <c r="L145" s="4">
        <v>801</v>
      </c>
      <c r="M145" s="1">
        <v>156353.28</v>
      </c>
      <c r="N145" s="1">
        <v>155165.44</v>
      </c>
      <c r="O145" s="1">
        <v>-1187.8399999999999</v>
      </c>
      <c r="P145" s="3">
        <v>-0.76</v>
      </c>
      <c r="Q145" s="2" t="s">
        <v>0</v>
      </c>
      <c r="R145" s="1">
        <v>0</v>
      </c>
      <c r="S145" s="1">
        <v>0</v>
      </c>
    </row>
    <row r="146" spans="1:19" ht="18" customHeight="1" x14ac:dyDescent="0.3">
      <c r="A146" s="9" t="s">
        <v>304</v>
      </c>
      <c r="B146" s="7" t="s">
        <v>5</v>
      </c>
      <c r="C146" s="7" t="s">
        <v>19</v>
      </c>
      <c r="D146" s="7" t="s">
        <v>3</v>
      </c>
      <c r="E146" s="7" t="s">
        <v>2</v>
      </c>
      <c r="F146" s="7" t="s">
        <v>1</v>
      </c>
      <c r="G146" s="9">
        <v>37</v>
      </c>
      <c r="H146" s="6">
        <v>2821.43</v>
      </c>
      <c r="I146" s="6">
        <v>3427.71</v>
      </c>
      <c r="J146" s="10">
        <v>44752</v>
      </c>
      <c r="K146" s="10">
        <v>45551</v>
      </c>
      <c r="L146" s="9">
        <v>799</v>
      </c>
      <c r="M146" s="6">
        <v>104392.91</v>
      </c>
      <c r="N146" s="6">
        <v>126825.27</v>
      </c>
      <c r="O146" s="6">
        <v>22432.36</v>
      </c>
      <c r="P146" s="8">
        <v>21.49</v>
      </c>
      <c r="Q146" s="7" t="s">
        <v>0</v>
      </c>
      <c r="R146" s="6">
        <v>0</v>
      </c>
      <c r="S146" s="6">
        <v>0</v>
      </c>
    </row>
    <row r="147" spans="1:19" ht="18" customHeight="1" x14ac:dyDescent="0.3">
      <c r="A147" s="4" t="s">
        <v>303</v>
      </c>
      <c r="B147" s="2" t="s">
        <v>62</v>
      </c>
      <c r="C147" s="2" t="s">
        <v>14</v>
      </c>
      <c r="D147" s="2" t="s">
        <v>61</v>
      </c>
      <c r="E147" s="2" t="s">
        <v>60</v>
      </c>
      <c r="F147" s="2" t="s">
        <v>1</v>
      </c>
      <c r="G147" s="4">
        <v>15</v>
      </c>
      <c r="H147" s="1">
        <v>2401.2399999999998</v>
      </c>
      <c r="I147" s="1">
        <v>3236.72</v>
      </c>
      <c r="J147" s="5">
        <v>44404</v>
      </c>
      <c r="K147" s="5">
        <v>44562</v>
      </c>
      <c r="L147" s="4">
        <v>158</v>
      </c>
      <c r="M147" s="1">
        <v>36018.6</v>
      </c>
      <c r="N147" s="1">
        <v>48550.8</v>
      </c>
      <c r="O147" s="1">
        <v>12532.2</v>
      </c>
      <c r="P147" s="3">
        <v>34.79</v>
      </c>
      <c r="Q147" s="2" t="s">
        <v>26</v>
      </c>
      <c r="R147" s="1">
        <v>1879.83</v>
      </c>
      <c r="S147" s="1">
        <v>0</v>
      </c>
    </row>
    <row r="148" spans="1:19" ht="18" customHeight="1" x14ac:dyDescent="0.3">
      <c r="A148" s="9" t="s">
        <v>302</v>
      </c>
      <c r="B148" s="7" t="s">
        <v>58</v>
      </c>
      <c r="C148" s="7" t="s">
        <v>9</v>
      </c>
      <c r="D148" s="7" t="s">
        <v>57</v>
      </c>
      <c r="E148" s="7" t="s">
        <v>56</v>
      </c>
      <c r="F148" s="7" t="s">
        <v>1</v>
      </c>
      <c r="G148" s="9">
        <v>483</v>
      </c>
      <c r="H148" s="6">
        <v>2276.12</v>
      </c>
      <c r="I148" s="6">
        <v>1983.4</v>
      </c>
      <c r="J148" s="10">
        <v>44683</v>
      </c>
      <c r="K148" s="10">
        <v>45533</v>
      </c>
      <c r="L148" s="9">
        <v>850</v>
      </c>
      <c r="M148" s="6">
        <v>1099365.96</v>
      </c>
      <c r="N148" s="6">
        <v>957982.2</v>
      </c>
      <c r="O148" s="6">
        <v>-141383.76</v>
      </c>
      <c r="P148" s="8">
        <v>-12.86</v>
      </c>
      <c r="Q148" s="7" t="s">
        <v>0</v>
      </c>
      <c r="R148" s="6">
        <v>0</v>
      </c>
      <c r="S148" s="6">
        <v>0</v>
      </c>
    </row>
    <row r="149" spans="1:19" ht="18" customHeight="1" x14ac:dyDescent="0.3">
      <c r="A149" s="4" t="s">
        <v>301</v>
      </c>
      <c r="B149" s="2" t="s">
        <v>54</v>
      </c>
      <c r="C149" s="2" t="s">
        <v>4</v>
      </c>
      <c r="D149" s="2" t="s">
        <v>53</v>
      </c>
      <c r="E149" s="2" t="s">
        <v>52</v>
      </c>
      <c r="F149" s="2" t="s">
        <v>1</v>
      </c>
      <c r="G149" s="4">
        <v>220</v>
      </c>
      <c r="H149" s="1">
        <v>3316.23</v>
      </c>
      <c r="I149" s="1">
        <v>5224.32</v>
      </c>
      <c r="J149" s="5">
        <v>44887</v>
      </c>
      <c r="K149" s="5">
        <v>45317</v>
      </c>
      <c r="L149" s="4">
        <v>430</v>
      </c>
      <c r="M149" s="1">
        <v>729570.6</v>
      </c>
      <c r="N149" s="1">
        <v>1149350.3999999999</v>
      </c>
      <c r="O149" s="1">
        <v>419779.8</v>
      </c>
      <c r="P149" s="3">
        <v>57.54</v>
      </c>
      <c r="Q149" s="2" t="s">
        <v>0</v>
      </c>
      <c r="R149" s="1">
        <v>0</v>
      </c>
      <c r="S149" s="1">
        <v>31977.98</v>
      </c>
    </row>
    <row r="150" spans="1:19" ht="18" customHeight="1" x14ac:dyDescent="0.3">
      <c r="A150" s="9" t="s">
        <v>300</v>
      </c>
      <c r="B150" s="7" t="s">
        <v>50</v>
      </c>
      <c r="C150" s="7" t="s">
        <v>29</v>
      </c>
      <c r="D150" s="7" t="s">
        <v>49</v>
      </c>
      <c r="E150" s="7" t="s">
        <v>48</v>
      </c>
      <c r="F150" s="7" t="s">
        <v>1</v>
      </c>
      <c r="G150" s="9">
        <v>473</v>
      </c>
      <c r="H150" s="6">
        <v>946.13</v>
      </c>
      <c r="I150" s="6">
        <v>1289.8599999999999</v>
      </c>
      <c r="J150" s="10">
        <v>45088</v>
      </c>
      <c r="K150" s="10">
        <v>45899</v>
      </c>
      <c r="L150" s="9">
        <v>811</v>
      </c>
      <c r="M150" s="6">
        <v>447519.49</v>
      </c>
      <c r="N150" s="6">
        <v>610103.78</v>
      </c>
      <c r="O150" s="6">
        <v>162584.29</v>
      </c>
      <c r="P150" s="8">
        <v>36.33</v>
      </c>
      <c r="Q150" s="7" t="s">
        <v>0</v>
      </c>
      <c r="R150" s="6">
        <v>0</v>
      </c>
      <c r="S150" s="6">
        <v>6258.43</v>
      </c>
    </row>
    <row r="151" spans="1:19" ht="18" customHeight="1" x14ac:dyDescent="0.3">
      <c r="A151" s="4" t="s">
        <v>299</v>
      </c>
      <c r="B151" s="2" t="s">
        <v>46</v>
      </c>
      <c r="C151" s="2" t="s">
        <v>23</v>
      </c>
      <c r="D151" s="2" t="s">
        <v>45</v>
      </c>
      <c r="E151" s="2" t="s">
        <v>44</v>
      </c>
      <c r="F151" s="2" t="s">
        <v>1</v>
      </c>
      <c r="G151" s="4">
        <v>463</v>
      </c>
      <c r="H151" s="1">
        <v>1618.84</v>
      </c>
      <c r="I151" s="1">
        <v>1535.83</v>
      </c>
      <c r="J151" s="5">
        <v>44868</v>
      </c>
      <c r="K151" s="5">
        <v>45533</v>
      </c>
      <c r="L151" s="4">
        <v>665</v>
      </c>
      <c r="M151" s="1">
        <v>749522.92</v>
      </c>
      <c r="N151" s="1">
        <v>711089.29</v>
      </c>
      <c r="O151" s="1">
        <v>-38433.629999999997</v>
      </c>
      <c r="P151" s="3">
        <v>-5.13</v>
      </c>
      <c r="Q151" s="2" t="s">
        <v>0</v>
      </c>
      <c r="R151" s="1">
        <v>0</v>
      </c>
      <c r="S151" s="1">
        <v>0</v>
      </c>
    </row>
    <row r="152" spans="1:19" ht="18" customHeight="1" x14ac:dyDescent="0.3">
      <c r="A152" s="9" t="s">
        <v>298</v>
      </c>
      <c r="B152" s="7" t="s">
        <v>42</v>
      </c>
      <c r="C152" s="7" t="s">
        <v>19</v>
      </c>
      <c r="D152" s="7" t="s">
        <v>41</v>
      </c>
      <c r="E152" s="7" t="s">
        <v>12</v>
      </c>
      <c r="F152" s="7" t="s">
        <v>1</v>
      </c>
      <c r="G152" s="9">
        <v>271</v>
      </c>
      <c r="H152" s="6">
        <v>1781.43</v>
      </c>
      <c r="I152" s="6">
        <v>1498.81</v>
      </c>
      <c r="J152" s="10">
        <v>44868</v>
      </c>
      <c r="K152" s="10">
        <v>45213</v>
      </c>
      <c r="L152" s="9">
        <v>345</v>
      </c>
      <c r="M152" s="6">
        <v>482767.53</v>
      </c>
      <c r="N152" s="6">
        <v>406177.51</v>
      </c>
      <c r="O152" s="6">
        <v>-76590.02</v>
      </c>
      <c r="P152" s="8">
        <v>-15.86</v>
      </c>
      <c r="Q152" s="7" t="s">
        <v>26</v>
      </c>
      <c r="R152" s="6">
        <v>0</v>
      </c>
      <c r="S152" s="6">
        <v>0</v>
      </c>
    </row>
    <row r="153" spans="1:19" ht="18" customHeight="1" x14ac:dyDescent="0.3">
      <c r="A153" s="4" t="s">
        <v>297</v>
      </c>
      <c r="B153" s="2" t="s">
        <v>39</v>
      </c>
      <c r="C153" s="2" t="s">
        <v>14</v>
      </c>
      <c r="D153" s="2" t="s">
        <v>38</v>
      </c>
      <c r="E153" s="2" t="s">
        <v>7</v>
      </c>
      <c r="F153" s="2" t="s">
        <v>1</v>
      </c>
      <c r="G153" s="4">
        <v>318</v>
      </c>
      <c r="H153" s="1">
        <v>3364.36</v>
      </c>
      <c r="I153" s="1">
        <v>2941.28</v>
      </c>
      <c r="J153" s="5">
        <v>44464</v>
      </c>
      <c r="K153" s="5">
        <v>44935</v>
      </c>
      <c r="L153" s="4">
        <v>471</v>
      </c>
      <c r="M153" s="1">
        <v>1069866.48</v>
      </c>
      <c r="N153" s="1">
        <v>935327.04</v>
      </c>
      <c r="O153" s="1">
        <v>-134539.44</v>
      </c>
      <c r="P153" s="3">
        <v>-12.58</v>
      </c>
      <c r="Q153" s="2" t="s">
        <v>0</v>
      </c>
      <c r="R153" s="1">
        <v>0</v>
      </c>
      <c r="S153" s="1">
        <v>0</v>
      </c>
    </row>
    <row r="154" spans="1:19" ht="18" customHeight="1" x14ac:dyDescent="0.3">
      <c r="A154" s="9" t="s">
        <v>296</v>
      </c>
      <c r="B154" s="7" t="s">
        <v>36</v>
      </c>
      <c r="C154" s="7" t="s">
        <v>9</v>
      </c>
      <c r="D154" s="7" t="s">
        <v>35</v>
      </c>
      <c r="E154" s="7" t="s">
        <v>12</v>
      </c>
      <c r="F154" s="7" t="s">
        <v>1</v>
      </c>
      <c r="G154" s="9">
        <v>415</v>
      </c>
      <c r="H154" s="6">
        <v>88.07</v>
      </c>
      <c r="I154" s="6">
        <v>108.94</v>
      </c>
      <c r="J154" s="10">
        <v>45008</v>
      </c>
      <c r="K154" s="10">
        <v>45726</v>
      </c>
      <c r="L154" s="9">
        <v>718</v>
      </c>
      <c r="M154" s="6">
        <v>36549.050000000003</v>
      </c>
      <c r="N154" s="6">
        <v>45210.1</v>
      </c>
      <c r="O154" s="6">
        <v>8661.0499999999993</v>
      </c>
      <c r="P154" s="8">
        <v>23.7</v>
      </c>
      <c r="Q154" s="7" t="s">
        <v>0</v>
      </c>
      <c r="R154" s="6">
        <v>0</v>
      </c>
      <c r="S154" s="6">
        <v>0</v>
      </c>
    </row>
    <row r="155" spans="1:19" ht="18" customHeight="1" x14ac:dyDescent="0.3">
      <c r="A155" s="4" t="s">
        <v>295</v>
      </c>
      <c r="B155" s="2" t="s">
        <v>33</v>
      </c>
      <c r="C155" s="2" t="s">
        <v>4</v>
      </c>
      <c r="D155" s="2" t="s">
        <v>32</v>
      </c>
      <c r="E155" s="2" t="s">
        <v>7</v>
      </c>
      <c r="F155" s="2" t="s">
        <v>1</v>
      </c>
      <c r="G155" s="4">
        <v>366</v>
      </c>
      <c r="H155" s="1">
        <v>2428.4</v>
      </c>
      <c r="I155" s="1">
        <v>2165.48</v>
      </c>
      <c r="J155" s="5">
        <v>44868</v>
      </c>
      <c r="K155" s="5">
        <v>45260</v>
      </c>
      <c r="L155" s="4">
        <v>392</v>
      </c>
      <c r="M155" s="1">
        <v>888794.4</v>
      </c>
      <c r="N155" s="1">
        <v>792565.68</v>
      </c>
      <c r="O155" s="1">
        <v>-96228.72</v>
      </c>
      <c r="P155" s="3">
        <v>-10.83</v>
      </c>
      <c r="Q155" s="2" t="s">
        <v>0</v>
      </c>
      <c r="R155" s="1">
        <v>0</v>
      </c>
      <c r="S155" s="1">
        <v>0</v>
      </c>
    </row>
    <row r="156" spans="1:19" ht="18" customHeight="1" x14ac:dyDescent="0.3">
      <c r="A156" s="9" t="s">
        <v>294</v>
      </c>
      <c r="B156" s="7" t="s">
        <v>30</v>
      </c>
      <c r="C156" s="7" t="s">
        <v>29</v>
      </c>
      <c r="D156" s="7" t="s">
        <v>28</v>
      </c>
      <c r="E156" s="7" t="s">
        <v>27</v>
      </c>
      <c r="F156" s="7" t="s">
        <v>1</v>
      </c>
      <c r="G156" s="9">
        <v>159</v>
      </c>
      <c r="H156" s="6">
        <v>417.84</v>
      </c>
      <c r="I156" s="6">
        <v>493.37</v>
      </c>
      <c r="J156" s="10">
        <v>44475</v>
      </c>
      <c r="K156" s="10">
        <v>44674</v>
      </c>
      <c r="L156" s="9">
        <v>199</v>
      </c>
      <c r="M156" s="6">
        <v>66436.56</v>
      </c>
      <c r="N156" s="6">
        <v>78445.83</v>
      </c>
      <c r="O156" s="6">
        <v>12009.27</v>
      </c>
      <c r="P156" s="8">
        <v>18.079999999999998</v>
      </c>
      <c r="Q156" s="7" t="s">
        <v>26</v>
      </c>
      <c r="R156" s="6">
        <v>1801.39</v>
      </c>
      <c r="S156" s="6">
        <v>0</v>
      </c>
    </row>
    <row r="157" spans="1:19" ht="18" customHeight="1" x14ac:dyDescent="0.3">
      <c r="A157" s="4" t="s">
        <v>293</v>
      </c>
      <c r="B157" s="2" t="s">
        <v>24</v>
      </c>
      <c r="C157" s="2" t="s">
        <v>23</v>
      </c>
      <c r="D157" s="2" t="s">
        <v>22</v>
      </c>
      <c r="E157" s="2" t="s">
        <v>7</v>
      </c>
      <c r="F157" s="2" t="s">
        <v>1</v>
      </c>
      <c r="G157" s="4">
        <v>292</v>
      </c>
      <c r="H157" s="1">
        <v>2998.84</v>
      </c>
      <c r="I157" s="1">
        <v>3258.18</v>
      </c>
      <c r="J157" s="5">
        <v>44423</v>
      </c>
      <c r="K157" s="5">
        <v>44450</v>
      </c>
      <c r="L157" s="4">
        <v>27</v>
      </c>
      <c r="M157" s="1">
        <v>875661.28</v>
      </c>
      <c r="N157" s="1">
        <v>951388.56</v>
      </c>
      <c r="O157" s="1">
        <v>75727.28</v>
      </c>
      <c r="P157" s="3">
        <v>8.65</v>
      </c>
      <c r="Q157" s="2" t="s">
        <v>26</v>
      </c>
      <c r="R157" s="1">
        <v>11359.09</v>
      </c>
      <c r="S157" s="1">
        <v>0</v>
      </c>
    </row>
    <row r="158" spans="1:19" ht="18" customHeight="1" x14ac:dyDescent="0.3">
      <c r="A158" s="9" t="s">
        <v>292</v>
      </c>
      <c r="B158" s="7" t="s">
        <v>20</v>
      </c>
      <c r="C158" s="7" t="s">
        <v>19</v>
      </c>
      <c r="D158" s="7" t="s">
        <v>18</v>
      </c>
      <c r="E158" s="7" t="s">
        <v>17</v>
      </c>
      <c r="F158" s="7" t="s">
        <v>1</v>
      </c>
      <c r="G158" s="9">
        <v>500</v>
      </c>
      <c r="H158" s="6">
        <v>1280.98</v>
      </c>
      <c r="I158" s="6">
        <v>1674.96</v>
      </c>
      <c r="J158" s="10">
        <v>44875</v>
      </c>
      <c r="K158" s="10">
        <v>45259</v>
      </c>
      <c r="L158" s="9">
        <v>384</v>
      </c>
      <c r="M158" s="6">
        <v>640490</v>
      </c>
      <c r="N158" s="6">
        <v>837480</v>
      </c>
      <c r="O158" s="6">
        <v>196990</v>
      </c>
      <c r="P158" s="8">
        <v>30.76</v>
      </c>
      <c r="Q158" s="7" t="s">
        <v>0</v>
      </c>
      <c r="R158" s="6">
        <v>0</v>
      </c>
      <c r="S158" s="6">
        <v>9699</v>
      </c>
    </row>
    <row r="159" spans="1:19" ht="18" customHeight="1" x14ac:dyDescent="0.3">
      <c r="A159" s="4" t="s">
        <v>291</v>
      </c>
      <c r="B159" s="2" t="s">
        <v>15</v>
      </c>
      <c r="C159" s="2" t="s">
        <v>14</v>
      </c>
      <c r="D159" s="2" t="s">
        <v>13</v>
      </c>
      <c r="E159" s="2" t="s">
        <v>12</v>
      </c>
      <c r="F159" s="2" t="s">
        <v>1</v>
      </c>
      <c r="G159" s="4">
        <v>96</v>
      </c>
      <c r="H159" s="1">
        <v>312.58999999999997</v>
      </c>
      <c r="I159" s="1">
        <v>441.02</v>
      </c>
      <c r="J159" s="5">
        <v>44357</v>
      </c>
      <c r="K159" s="5">
        <v>44974</v>
      </c>
      <c r="L159" s="4">
        <v>617</v>
      </c>
      <c r="M159" s="1">
        <v>30008.639999999999</v>
      </c>
      <c r="N159" s="1">
        <v>42337.919999999998</v>
      </c>
      <c r="O159" s="1">
        <v>12329.28</v>
      </c>
      <c r="P159" s="3">
        <v>41.09</v>
      </c>
      <c r="Q159" s="2" t="s">
        <v>0</v>
      </c>
      <c r="R159" s="1">
        <v>0</v>
      </c>
      <c r="S159" s="1">
        <v>0</v>
      </c>
    </row>
    <row r="160" spans="1:19" ht="18" customHeight="1" x14ac:dyDescent="0.3">
      <c r="A160" s="9" t="s">
        <v>290</v>
      </c>
      <c r="B160" s="7" t="s">
        <v>10</v>
      </c>
      <c r="C160" s="7" t="s">
        <v>9</v>
      </c>
      <c r="D160" s="7" t="s">
        <v>8</v>
      </c>
      <c r="E160" s="7" t="s">
        <v>7</v>
      </c>
      <c r="F160" s="7" t="s">
        <v>1</v>
      </c>
      <c r="G160" s="9">
        <v>490</v>
      </c>
      <c r="H160" s="6">
        <v>341.98</v>
      </c>
      <c r="I160" s="6">
        <v>453.89</v>
      </c>
      <c r="J160" s="10">
        <v>44419</v>
      </c>
      <c r="K160" s="10">
        <v>44941</v>
      </c>
      <c r="L160" s="9">
        <v>522</v>
      </c>
      <c r="M160" s="6">
        <v>167570.20000000001</v>
      </c>
      <c r="N160" s="6">
        <v>222406.1</v>
      </c>
      <c r="O160" s="6">
        <v>54835.9</v>
      </c>
      <c r="P160" s="8">
        <v>32.72</v>
      </c>
      <c r="Q160" s="7" t="s">
        <v>0</v>
      </c>
      <c r="R160" s="6">
        <v>0</v>
      </c>
      <c r="S160" s="6">
        <v>0</v>
      </c>
    </row>
    <row r="161" spans="1:19" ht="18" customHeight="1" x14ac:dyDescent="0.3">
      <c r="A161" s="4" t="s">
        <v>289</v>
      </c>
      <c r="B161" s="2" t="s">
        <v>5</v>
      </c>
      <c r="C161" s="2" t="s">
        <v>4</v>
      </c>
      <c r="D161" s="2" t="s">
        <v>3</v>
      </c>
      <c r="E161" s="2" t="s">
        <v>2</v>
      </c>
      <c r="F161" s="2" t="s">
        <v>1</v>
      </c>
      <c r="G161" s="4">
        <v>166</v>
      </c>
      <c r="H161" s="1">
        <v>2893.13</v>
      </c>
      <c r="I161" s="1">
        <v>3352.45</v>
      </c>
      <c r="J161" s="5">
        <v>44530</v>
      </c>
      <c r="K161" s="5">
        <v>45279</v>
      </c>
      <c r="L161" s="4">
        <v>749</v>
      </c>
      <c r="M161" s="1">
        <v>480259.58</v>
      </c>
      <c r="N161" s="1">
        <v>556506.69999999995</v>
      </c>
      <c r="O161" s="1">
        <v>76247.12</v>
      </c>
      <c r="P161" s="3">
        <v>15.88</v>
      </c>
      <c r="Q161" s="2" t="s">
        <v>0</v>
      </c>
      <c r="R161" s="1">
        <v>0</v>
      </c>
      <c r="S161" s="1">
        <v>0</v>
      </c>
    </row>
    <row r="162" spans="1:19" ht="18" customHeight="1" x14ac:dyDescent="0.3">
      <c r="A162" s="9" t="s">
        <v>288</v>
      </c>
      <c r="B162" s="7" t="s">
        <v>62</v>
      </c>
      <c r="C162" s="7" t="s">
        <v>29</v>
      </c>
      <c r="D162" s="7" t="s">
        <v>61</v>
      </c>
      <c r="E162" s="7" t="s">
        <v>60</v>
      </c>
      <c r="F162" s="7" t="s">
        <v>1</v>
      </c>
      <c r="G162" s="9">
        <v>296</v>
      </c>
      <c r="H162" s="6">
        <v>1731.39</v>
      </c>
      <c r="I162" s="6">
        <v>2005</v>
      </c>
      <c r="J162" s="10">
        <v>45046</v>
      </c>
      <c r="K162" s="10">
        <v>45271</v>
      </c>
      <c r="L162" s="9">
        <v>225</v>
      </c>
      <c r="M162" s="6">
        <v>512491.44</v>
      </c>
      <c r="N162" s="6">
        <v>593480</v>
      </c>
      <c r="O162" s="6">
        <v>80988.56</v>
      </c>
      <c r="P162" s="8">
        <v>15.8</v>
      </c>
      <c r="Q162" s="7" t="s">
        <v>26</v>
      </c>
      <c r="R162" s="6">
        <v>12148.28</v>
      </c>
      <c r="S162" s="6">
        <v>0</v>
      </c>
    </row>
    <row r="163" spans="1:19" ht="18" customHeight="1" x14ac:dyDescent="0.3">
      <c r="A163" s="4" t="s">
        <v>287</v>
      </c>
      <c r="B163" s="2" t="s">
        <v>58</v>
      </c>
      <c r="C163" s="2" t="s">
        <v>23</v>
      </c>
      <c r="D163" s="2" t="s">
        <v>57</v>
      </c>
      <c r="E163" s="2" t="s">
        <v>56</v>
      </c>
      <c r="F163" s="2" t="s">
        <v>1</v>
      </c>
      <c r="G163" s="4">
        <v>302</v>
      </c>
      <c r="H163" s="1">
        <v>2034.55</v>
      </c>
      <c r="I163" s="1">
        <v>1826.12</v>
      </c>
      <c r="J163" s="5">
        <v>44465</v>
      </c>
      <c r="K163" s="5">
        <v>44983</v>
      </c>
      <c r="L163" s="4">
        <v>518</v>
      </c>
      <c r="M163" s="1">
        <v>614434.1</v>
      </c>
      <c r="N163" s="1">
        <v>551488.24</v>
      </c>
      <c r="O163" s="1">
        <v>-62945.86</v>
      </c>
      <c r="P163" s="3">
        <v>-10.24</v>
      </c>
      <c r="Q163" s="2" t="s">
        <v>0</v>
      </c>
      <c r="R163" s="1">
        <v>0</v>
      </c>
      <c r="S163" s="1">
        <v>0</v>
      </c>
    </row>
    <row r="164" spans="1:19" ht="18" customHeight="1" x14ac:dyDescent="0.3">
      <c r="A164" s="9" t="s">
        <v>286</v>
      </c>
      <c r="B164" s="7" t="s">
        <v>54</v>
      </c>
      <c r="C164" s="7" t="s">
        <v>19</v>
      </c>
      <c r="D164" s="7" t="s">
        <v>53</v>
      </c>
      <c r="E164" s="7" t="s">
        <v>52</v>
      </c>
      <c r="F164" s="7" t="s">
        <v>1</v>
      </c>
      <c r="G164" s="9">
        <v>469</v>
      </c>
      <c r="H164" s="6">
        <v>1457.8</v>
      </c>
      <c r="I164" s="6">
        <v>2288.17</v>
      </c>
      <c r="J164" s="10">
        <v>44733</v>
      </c>
      <c r="K164" s="10">
        <v>45109</v>
      </c>
      <c r="L164" s="9">
        <v>376</v>
      </c>
      <c r="M164" s="6">
        <v>683708.2</v>
      </c>
      <c r="N164" s="6">
        <v>1073151.73</v>
      </c>
      <c r="O164" s="6">
        <v>389443.53</v>
      </c>
      <c r="P164" s="8">
        <v>56.96</v>
      </c>
      <c r="Q164" s="7" t="s">
        <v>0</v>
      </c>
      <c r="R164" s="6">
        <v>0</v>
      </c>
      <c r="S164" s="6">
        <v>28944.35</v>
      </c>
    </row>
    <row r="165" spans="1:19" ht="18" customHeight="1" x14ac:dyDescent="0.3">
      <c r="A165" s="4" t="s">
        <v>285</v>
      </c>
      <c r="B165" s="2" t="s">
        <v>50</v>
      </c>
      <c r="C165" s="2" t="s">
        <v>14</v>
      </c>
      <c r="D165" s="2" t="s">
        <v>49</v>
      </c>
      <c r="E165" s="2" t="s">
        <v>48</v>
      </c>
      <c r="F165" s="2" t="s">
        <v>1</v>
      </c>
      <c r="G165" s="4">
        <v>140</v>
      </c>
      <c r="H165" s="1">
        <v>1480.68</v>
      </c>
      <c r="I165" s="1">
        <v>1147.81</v>
      </c>
      <c r="J165" s="5">
        <v>44796</v>
      </c>
      <c r="K165" s="5">
        <v>45534</v>
      </c>
      <c r="L165" s="4">
        <v>738</v>
      </c>
      <c r="M165" s="1">
        <v>207295.2</v>
      </c>
      <c r="N165" s="1">
        <v>160693.4</v>
      </c>
      <c r="O165" s="1">
        <v>-46601.8</v>
      </c>
      <c r="P165" s="3">
        <v>-22.48</v>
      </c>
      <c r="Q165" s="2" t="s">
        <v>0</v>
      </c>
      <c r="R165" s="1">
        <v>0</v>
      </c>
      <c r="S165" s="1">
        <v>0</v>
      </c>
    </row>
    <row r="166" spans="1:19" ht="18" customHeight="1" x14ac:dyDescent="0.3">
      <c r="A166" s="9" t="s">
        <v>284</v>
      </c>
      <c r="B166" s="7" t="s">
        <v>46</v>
      </c>
      <c r="C166" s="7" t="s">
        <v>9</v>
      </c>
      <c r="D166" s="7" t="s">
        <v>45</v>
      </c>
      <c r="E166" s="7" t="s">
        <v>44</v>
      </c>
      <c r="F166" s="7" t="s">
        <v>1</v>
      </c>
      <c r="G166" s="9">
        <v>300</v>
      </c>
      <c r="H166" s="6">
        <v>1374.02</v>
      </c>
      <c r="I166" s="6">
        <v>1709.49</v>
      </c>
      <c r="J166" s="10">
        <v>44256</v>
      </c>
      <c r="K166" s="10">
        <v>44356</v>
      </c>
      <c r="L166" s="9">
        <v>100</v>
      </c>
      <c r="M166" s="6">
        <v>412206</v>
      </c>
      <c r="N166" s="6">
        <v>512847</v>
      </c>
      <c r="O166" s="6">
        <v>100641</v>
      </c>
      <c r="P166" s="8">
        <v>24.42</v>
      </c>
      <c r="Q166" s="7" t="s">
        <v>26</v>
      </c>
      <c r="R166" s="6">
        <v>15096.15</v>
      </c>
      <c r="S166" s="6">
        <v>0</v>
      </c>
    </row>
    <row r="167" spans="1:19" ht="18" customHeight="1" x14ac:dyDescent="0.3">
      <c r="A167" s="4" t="s">
        <v>283</v>
      </c>
      <c r="B167" s="2" t="s">
        <v>42</v>
      </c>
      <c r="C167" s="2" t="s">
        <v>4</v>
      </c>
      <c r="D167" s="2" t="s">
        <v>41</v>
      </c>
      <c r="E167" s="2" t="s">
        <v>12</v>
      </c>
      <c r="F167" s="2" t="s">
        <v>1</v>
      </c>
      <c r="G167" s="4">
        <v>182</v>
      </c>
      <c r="H167" s="1">
        <v>1175.21</v>
      </c>
      <c r="I167" s="1">
        <v>1634.83</v>
      </c>
      <c r="J167" s="5">
        <v>44930</v>
      </c>
      <c r="K167" s="5">
        <v>45567</v>
      </c>
      <c r="L167" s="4">
        <v>637</v>
      </c>
      <c r="M167" s="1">
        <v>213888.22</v>
      </c>
      <c r="N167" s="1">
        <v>297539.06</v>
      </c>
      <c r="O167" s="1">
        <v>83650.84</v>
      </c>
      <c r="P167" s="3">
        <v>39.11</v>
      </c>
      <c r="Q167" s="2" t="s">
        <v>0</v>
      </c>
      <c r="R167" s="1">
        <v>0</v>
      </c>
      <c r="S167" s="1">
        <v>0</v>
      </c>
    </row>
    <row r="168" spans="1:19" ht="18" customHeight="1" x14ac:dyDescent="0.3">
      <c r="A168" s="9" t="s">
        <v>282</v>
      </c>
      <c r="B168" s="7" t="s">
        <v>39</v>
      </c>
      <c r="C168" s="7" t="s">
        <v>29</v>
      </c>
      <c r="D168" s="7" t="s">
        <v>38</v>
      </c>
      <c r="E168" s="7" t="s">
        <v>7</v>
      </c>
      <c r="F168" s="7" t="s">
        <v>1</v>
      </c>
      <c r="G168" s="9">
        <v>430</v>
      </c>
      <c r="H168" s="6">
        <v>3034.88</v>
      </c>
      <c r="I168" s="6">
        <v>2357.36</v>
      </c>
      <c r="J168" s="10">
        <v>44410</v>
      </c>
      <c r="K168" s="10">
        <v>44682</v>
      </c>
      <c r="L168" s="9">
        <v>272</v>
      </c>
      <c r="M168" s="6">
        <v>1304998.3999999999</v>
      </c>
      <c r="N168" s="6">
        <v>1013664.8</v>
      </c>
      <c r="O168" s="6">
        <v>-291333.59999999998</v>
      </c>
      <c r="P168" s="8">
        <v>-22.32</v>
      </c>
      <c r="Q168" s="7" t="s">
        <v>26</v>
      </c>
      <c r="R168" s="6">
        <v>0</v>
      </c>
      <c r="S168" s="6">
        <v>0</v>
      </c>
    </row>
    <row r="169" spans="1:19" ht="18" customHeight="1" x14ac:dyDescent="0.3">
      <c r="A169" s="4" t="s">
        <v>281</v>
      </c>
      <c r="B169" s="2" t="s">
        <v>36</v>
      </c>
      <c r="C169" s="2" t="s">
        <v>23</v>
      </c>
      <c r="D169" s="2" t="s">
        <v>35</v>
      </c>
      <c r="E169" s="2" t="s">
        <v>12</v>
      </c>
      <c r="F169" s="2" t="s">
        <v>1</v>
      </c>
      <c r="G169" s="4">
        <v>488</v>
      </c>
      <c r="H169" s="1">
        <v>725.13</v>
      </c>
      <c r="I169" s="1">
        <v>1123.0899999999999</v>
      </c>
      <c r="J169" s="5">
        <v>45085</v>
      </c>
      <c r="K169" s="5">
        <v>45511</v>
      </c>
      <c r="L169" s="4">
        <v>426</v>
      </c>
      <c r="M169" s="1">
        <v>353863.44</v>
      </c>
      <c r="N169" s="1">
        <v>548067.92000000004</v>
      </c>
      <c r="O169" s="1">
        <v>194204.48</v>
      </c>
      <c r="P169" s="3">
        <v>54.88</v>
      </c>
      <c r="Q169" s="2" t="s">
        <v>0</v>
      </c>
      <c r="R169" s="1">
        <v>0</v>
      </c>
      <c r="S169" s="1">
        <v>9420.4500000000007</v>
      </c>
    </row>
    <row r="170" spans="1:19" ht="18" customHeight="1" x14ac:dyDescent="0.3">
      <c r="A170" s="9" t="s">
        <v>280</v>
      </c>
      <c r="B170" s="7" t="s">
        <v>33</v>
      </c>
      <c r="C170" s="7" t="s">
        <v>19</v>
      </c>
      <c r="D170" s="7" t="s">
        <v>32</v>
      </c>
      <c r="E170" s="7" t="s">
        <v>7</v>
      </c>
      <c r="F170" s="7" t="s">
        <v>1</v>
      </c>
      <c r="G170" s="9">
        <v>40</v>
      </c>
      <c r="H170" s="6">
        <v>783.7</v>
      </c>
      <c r="I170" s="6">
        <v>1098.6400000000001</v>
      </c>
      <c r="J170" s="10">
        <v>44438</v>
      </c>
      <c r="K170" s="10">
        <v>44629</v>
      </c>
      <c r="L170" s="9">
        <v>191</v>
      </c>
      <c r="M170" s="6">
        <v>31348</v>
      </c>
      <c r="N170" s="6">
        <v>43945.599999999999</v>
      </c>
      <c r="O170" s="6">
        <v>12597.6</v>
      </c>
      <c r="P170" s="8">
        <v>40.19</v>
      </c>
      <c r="Q170" s="7" t="s">
        <v>26</v>
      </c>
      <c r="R170" s="6">
        <v>1889.64</v>
      </c>
      <c r="S170" s="6">
        <v>0</v>
      </c>
    </row>
    <row r="171" spans="1:19" ht="18" customHeight="1" x14ac:dyDescent="0.3">
      <c r="A171" s="4" t="s">
        <v>279</v>
      </c>
      <c r="B171" s="2" t="s">
        <v>30</v>
      </c>
      <c r="C171" s="2" t="s">
        <v>14</v>
      </c>
      <c r="D171" s="2" t="s">
        <v>28</v>
      </c>
      <c r="E171" s="2" t="s">
        <v>27</v>
      </c>
      <c r="F171" s="2" t="s">
        <v>1</v>
      </c>
      <c r="G171" s="4">
        <v>133</v>
      </c>
      <c r="H171" s="1">
        <v>1380.07</v>
      </c>
      <c r="I171" s="1">
        <v>1989.19</v>
      </c>
      <c r="J171" s="5">
        <v>44379</v>
      </c>
      <c r="K171" s="5">
        <v>44759</v>
      </c>
      <c r="L171" s="4">
        <v>380</v>
      </c>
      <c r="M171" s="1">
        <v>183549.31</v>
      </c>
      <c r="N171" s="1">
        <v>264562.27</v>
      </c>
      <c r="O171" s="1">
        <v>81012.960000000006</v>
      </c>
      <c r="P171" s="3">
        <v>44.14</v>
      </c>
      <c r="Q171" s="2" t="s">
        <v>0</v>
      </c>
      <c r="R171" s="1">
        <v>0</v>
      </c>
      <c r="S171" s="1">
        <v>0</v>
      </c>
    </row>
    <row r="172" spans="1:19" ht="18" customHeight="1" x14ac:dyDescent="0.3">
      <c r="A172" s="9" t="s">
        <v>278</v>
      </c>
      <c r="B172" s="7" t="s">
        <v>24</v>
      </c>
      <c r="C172" s="7" t="s">
        <v>9</v>
      </c>
      <c r="D172" s="7" t="s">
        <v>22</v>
      </c>
      <c r="E172" s="7" t="s">
        <v>7</v>
      </c>
      <c r="F172" s="7" t="s">
        <v>1</v>
      </c>
      <c r="G172" s="9">
        <v>220</v>
      </c>
      <c r="H172" s="6">
        <v>2586.67</v>
      </c>
      <c r="I172" s="6">
        <v>1855.02</v>
      </c>
      <c r="J172" s="10">
        <v>44567</v>
      </c>
      <c r="K172" s="10">
        <v>44767</v>
      </c>
      <c r="L172" s="9">
        <v>200</v>
      </c>
      <c r="M172" s="6">
        <v>569067.4</v>
      </c>
      <c r="N172" s="6">
        <v>408104.4</v>
      </c>
      <c r="O172" s="6">
        <v>-160963</v>
      </c>
      <c r="P172" s="8">
        <v>-28.29</v>
      </c>
      <c r="Q172" s="7" t="s">
        <v>26</v>
      </c>
      <c r="R172" s="6">
        <v>0</v>
      </c>
      <c r="S172" s="6">
        <v>0</v>
      </c>
    </row>
    <row r="173" spans="1:19" ht="18" customHeight="1" x14ac:dyDescent="0.3">
      <c r="A173" s="4" t="s">
        <v>277</v>
      </c>
      <c r="B173" s="2" t="s">
        <v>20</v>
      </c>
      <c r="C173" s="2" t="s">
        <v>4</v>
      </c>
      <c r="D173" s="2" t="s">
        <v>18</v>
      </c>
      <c r="E173" s="2" t="s">
        <v>17</v>
      </c>
      <c r="F173" s="2" t="s">
        <v>1</v>
      </c>
      <c r="G173" s="4">
        <v>414</v>
      </c>
      <c r="H173" s="1">
        <v>3442.38</v>
      </c>
      <c r="I173" s="1">
        <v>4105.08</v>
      </c>
      <c r="J173" s="5">
        <v>44403</v>
      </c>
      <c r="K173" s="5">
        <v>45210</v>
      </c>
      <c r="L173" s="4">
        <v>807</v>
      </c>
      <c r="M173" s="1">
        <v>1425145.32</v>
      </c>
      <c r="N173" s="1">
        <v>1699503.12</v>
      </c>
      <c r="O173" s="1">
        <v>274357.8</v>
      </c>
      <c r="P173" s="3">
        <v>19.25</v>
      </c>
      <c r="Q173" s="2" t="s">
        <v>0</v>
      </c>
      <c r="R173" s="1">
        <v>0</v>
      </c>
      <c r="S173" s="1">
        <v>17435.78</v>
      </c>
    </row>
    <row r="174" spans="1:19" ht="18" customHeight="1" x14ac:dyDescent="0.3">
      <c r="A174" s="9" t="s">
        <v>276</v>
      </c>
      <c r="B174" s="7" t="s">
        <v>15</v>
      </c>
      <c r="C174" s="7" t="s">
        <v>29</v>
      </c>
      <c r="D174" s="7" t="s">
        <v>13</v>
      </c>
      <c r="E174" s="7" t="s">
        <v>12</v>
      </c>
      <c r="F174" s="7" t="s">
        <v>1</v>
      </c>
      <c r="G174" s="9">
        <v>238</v>
      </c>
      <c r="H174" s="6">
        <v>3053.73</v>
      </c>
      <c r="I174" s="6">
        <v>3799.59</v>
      </c>
      <c r="J174" s="10">
        <v>44470</v>
      </c>
      <c r="K174" s="10">
        <v>44888</v>
      </c>
      <c r="L174" s="9">
        <v>418</v>
      </c>
      <c r="M174" s="6">
        <v>726787.74</v>
      </c>
      <c r="N174" s="6">
        <v>904302.42</v>
      </c>
      <c r="O174" s="6">
        <v>177514.68</v>
      </c>
      <c r="P174" s="8">
        <v>24.42</v>
      </c>
      <c r="Q174" s="7" t="s">
        <v>0</v>
      </c>
      <c r="R174" s="6">
        <v>0</v>
      </c>
      <c r="S174" s="6">
        <v>7751.47</v>
      </c>
    </row>
    <row r="175" spans="1:19" ht="18" customHeight="1" x14ac:dyDescent="0.3">
      <c r="A175" s="4" t="s">
        <v>275</v>
      </c>
      <c r="B175" s="2" t="s">
        <v>10</v>
      </c>
      <c r="C175" s="2" t="s">
        <v>23</v>
      </c>
      <c r="D175" s="2" t="s">
        <v>8</v>
      </c>
      <c r="E175" s="2" t="s">
        <v>7</v>
      </c>
      <c r="F175" s="2" t="s">
        <v>1</v>
      </c>
      <c r="G175" s="4">
        <v>73</v>
      </c>
      <c r="H175" s="1">
        <v>2188.86</v>
      </c>
      <c r="I175" s="1">
        <v>2642.2</v>
      </c>
      <c r="J175" s="5">
        <v>44724</v>
      </c>
      <c r="K175" s="5">
        <v>44779</v>
      </c>
      <c r="L175" s="4">
        <v>55</v>
      </c>
      <c r="M175" s="1">
        <v>159786.78</v>
      </c>
      <c r="N175" s="1">
        <v>192880.6</v>
      </c>
      <c r="O175" s="1">
        <v>33093.82</v>
      </c>
      <c r="P175" s="3">
        <v>20.71</v>
      </c>
      <c r="Q175" s="2" t="s">
        <v>26</v>
      </c>
      <c r="R175" s="1">
        <v>4964.07</v>
      </c>
      <c r="S175" s="1">
        <v>0</v>
      </c>
    </row>
    <row r="176" spans="1:19" ht="18" customHeight="1" x14ac:dyDescent="0.3">
      <c r="A176" s="9" t="s">
        <v>274</v>
      </c>
      <c r="B176" s="7" t="s">
        <v>5</v>
      </c>
      <c r="C176" s="7" t="s">
        <v>19</v>
      </c>
      <c r="D176" s="7" t="s">
        <v>3</v>
      </c>
      <c r="E176" s="7" t="s">
        <v>2</v>
      </c>
      <c r="F176" s="7" t="s">
        <v>1</v>
      </c>
      <c r="G176" s="9">
        <v>399</v>
      </c>
      <c r="H176" s="6">
        <v>3200.28</v>
      </c>
      <c r="I176" s="6">
        <v>3828.82</v>
      </c>
      <c r="J176" s="10">
        <v>44632</v>
      </c>
      <c r="K176" s="10">
        <v>44831</v>
      </c>
      <c r="L176" s="9">
        <v>199</v>
      </c>
      <c r="M176" s="6">
        <v>1276911.72</v>
      </c>
      <c r="N176" s="6">
        <v>1527699.18</v>
      </c>
      <c r="O176" s="6">
        <v>250787.46</v>
      </c>
      <c r="P176" s="8">
        <v>19.64</v>
      </c>
      <c r="Q176" s="7" t="s">
        <v>26</v>
      </c>
      <c r="R176" s="6">
        <v>37618.120000000003</v>
      </c>
      <c r="S176" s="6">
        <v>0</v>
      </c>
    </row>
    <row r="177" spans="1:19" ht="18" customHeight="1" x14ac:dyDescent="0.3">
      <c r="A177" s="4" t="s">
        <v>273</v>
      </c>
      <c r="B177" s="2" t="s">
        <v>62</v>
      </c>
      <c r="C177" s="2" t="s">
        <v>14</v>
      </c>
      <c r="D177" s="2" t="s">
        <v>61</v>
      </c>
      <c r="E177" s="2" t="s">
        <v>60</v>
      </c>
      <c r="F177" s="2" t="s">
        <v>1</v>
      </c>
      <c r="G177" s="4">
        <v>312</v>
      </c>
      <c r="H177" s="1">
        <v>1908.74</v>
      </c>
      <c r="I177" s="1">
        <v>1718.12</v>
      </c>
      <c r="J177" s="5">
        <v>44850</v>
      </c>
      <c r="K177" s="5">
        <v>45708</v>
      </c>
      <c r="L177" s="4">
        <v>858</v>
      </c>
      <c r="M177" s="1">
        <v>595526.88</v>
      </c>
      <c r="N177" s="1">
        <v>536053.43999999994</v>
      </c>
      <c r="O177" s="1">
        <v>-59473.440000000002</v>
      </c>
      <c r="P177" s="3">
        <v>-9.99</v>
      </c>
      <c r="Q177" s="2" t="s">
        <v>0</v>
      </c>
      <c r="R177" s="1">
        <v>0</v>
      </c>
      <c r="S177" s="1">
        <v>0</v>
      </c>
    </row>
    <row r="178" spans="1:19" ht="18" customHeight="1" x14ac:dyDescent="0.3">
      <c r="A178" s="9" t="s">
        <v>272</v>
      </c>
      <c r="B178" s="7" t="s">
        <v>58</v>
      </c>
      <c r="C178" s="7" t="s">
        <v>9</v>
      </c>
      <c r="D178" s="7" t="s">
        <v>57</v>
      </c>
      <c r="E178" s="7" t="s">
        <v>56</v>
      </c>
      <c r="F178" s="7" t="s">
        <v>1</v>
      </c>
      <c r="G178" s="9">
        <v>465</v>
      </c>
      <c r="H178" s="6">
        <v>2492.06</v>
      </c>
      <c r="I178" s="6">
        <v>2714.59</v>
      </c>
      <c r="J178" s="10">
        <v>44818</v>
      </c>
      <c r="K178" s="10">
        <v>44954</v>
      </c>
      <c r="L178" s="9">
        <v>136</v>
      </c>
      <c r="M178" s="6">
        <v>1158807.8999999999</v>
      </c>
      <c r="N178" s="6">
        <v>1262284.3500000001</v>
      </c>
      <c r="O178" s="6">
        <v>103476.45</v>
      </c>
      <c r="P178" s="8">
        <v>8.93</v>
      </c>
      <c r="Q178" s="7" t="s">
        <v>26</v>
      </c>
      <c r="R178" s="6">
        <v>15521.47</v>
      </c>
      <c r="S178" s="6">
        <v>0</v>
      </c>
    </row>
    <row r="179" spans="1:19" ht="18" customHeight="1" x14ac:dyDescent="0.3">
      <c r="A179" s="4" t="s">
        <v>271</v>
      </c>
      <c r="B179" s="2" t="s">
        <v>54</v>
      </c>
      <c r="C179" s="2" t="s">
        <v>4</v>
      </c>
      <c r="D179" s="2" t="s">
        <v>53</v>
      </c>
      <c r="E179" s="2" t="s">
        <v>52</v>
      </c>
      <c r="F179" s="2" t="s">
        <v>1</v>
      </c>
      <c r="G179" s="4">
        <v>68</v>
      </c>
      <c r="H179" s="1">
        <v>3082.64</v>
      </c>
      <c r="I179" s="1">
        <v>2656.43</v>
      </c>
      <c r="J179" s="5">
        <v>44869</v>
      </c>
      <c r="K179" s="5">
        <v>45290</v>
      </c>
      <c r="L179" s="4">
        <v>421</v>
      </c>
      <c r="M179" s="1">
        <v>209619.52</v>
      </c>
      <c r="N179" s="1">
        <v>180637.24</v>
      </c>
      <c r="O179" s="1">
        <v>-28982.28</v>
      </c>
      <c r="P179" s="3">
        <v>-13.83</v>
      </c>
      <c r="Q179" s="2" t="s">
        <v>0</v>
      </c>
      <c r="R179" s="1">
        <v>0</v>
      </c>
      <c r="S179" s="1">
        <v>0</v>
      </c>
    </row>
    <row r="180" spans="1:19" ht="18" customHeight="1" x14ac:dyDescent="0.3">
      <c r="A180" s="9" t="s">
        <v>270</v>
      </c>
      <c r="B180" s="7" t="s">
        <v>50</v>
      </c>
      <c r="C180" s="7" t="s">
        <v>29</v>
      </c>
      <c r="D180" s="7" t="s">
        <v>49</v>
      </c>
      <c r="E180" s="7" t="s">
        <v>48</v>
      </c>
      <c r="F180" s="7" t="s">
        <v>1</v>
      </c>
      <c r="G180" s="9">
        <v>330</v>
      </c>
      <c r="H180" s="6">
        <v>2374.91</v>
      </c>
      <c r="I180" s="6">
        <v>2577.67</v>
      </c>
      <c r="J180" s="10">
        <v>44542</v>
      </c>
      <c r="K180" s="10">
        <v>44780</v>
      </c>
      <c r="L180" s="9">
        <v>238</v>
      </c>
      <c r="M180" s="6">
        <v>783720.3</v>
      </c>
      <c r="N180" s="6">
        <v>850631.1</v>
      </c>
      <c r="O180" s="6">
        <v>66910.8</v>
      </c>
      <c r="P180" s="8">
        <v>8.5399999999999991</v>
      </c>
      <c r="Q180" s="7" t="s">
        <v>26</v>
      </c>
      <c r="R180" s="6">
        <v>10036.620000000001</v>
      </c>
      <c r="S180" s="6">
        <v>0</v>
      </c>
    </row>
    <row r="181" spans="1:19" ht="18" customHeight="1" x14ac:dyDescent="0.3">
      <c r="A181" s="4" t="s">
        <v>269</v>
      </c>
      <c r="B181" s="2" t="s">
        <v>46</v>
      </c>
      <c r="C181" s="2" t="s">
        <v>23</v>
      </c>
      <c r="D181" s="2" t="s">
        <v>45</v>
      </c>
      <c r="E181" s="2" t="s">
        <v>44</v>
      </c>
      <c r="F181" s="2" t="s">
        <v>1</v>
      </c>
      <c r="G181" s="4">
        <v>287</v>
      </c>
      <c r="H181" s="1">
        <v>1526.56</v>
      </c>
      <c r="I181" s="1">
        <v>1372.62</v>
      </c>
      <c r="J181" s="5">
        <v>45017</v>
      </c>
      <c r="K181" s="5">
        <v>45508</v>
      </c>
      <c r="L181" s="4">
        <v>491</v>
      </c>
      <c r="M181" s="1">
        <v>438122.72</v>
      </c>
      <c r="N181" s="1">
        <v>393941.94</v>
      </c>
      <c r="O181" s="1">
        <v>-44180.78</v>
      </c>
      <c r="P181" s="3">
        <v>-10.08</v>
      </c>
      <c r="Q181" s="2" t="s">
        <v>0</v>
      </c>
      <c r="R181" s="1">
        <v>0</v>
      </c>
      <c r="S181" s="1">
        <v>0</v>
      </c>
    </row>
    <row r="182" spans="1:19" ht="18" customHeight="1" x14ac:dyDescent="0.3">
      <c r="A182" s="9" t="s">
        <v>268</v>
      </c>
      <c r="B182" s="7" t="s">
        <v>42</v>
      </c>
      <c r="C182" s="7" t="s">
        <v>19</v>
      </c>
      <c r="D182" s="7" t="s">
        <v>41</v>
      </c>
      <c r="E182" s="7" t="s">
        <v>12</v>
      </c>
      <c r="F182" s="7" t="s">
        <v>1</v>
      </c>
      <c r="G182" s="9">
        <v>496</v>
      </c>
      <c r="H182" s="6">
        <v>376.46</v>
      </c>
      <c r="I182" s="6">
        <v>601.1</v>
      </c>
      <c r="J182" s="10">
        <v>44543</v>
      </c>
      <c r="K182" s="10">
        <v>45341</v>
      </c>
      <c r="L182" s="9">
        <v>798</v>
      </c>
      <c r="M182" s="6">
        <v>186724.16</v>
      </c>
      <c r="N182" s="6">
        <v>298145.59999999998</v>
      </c>
      <c r="O182" s="6">
        <v>111421.44</v>
      </c>
      <c r="P182" s="8">
        <v>59.67</v>
      </c>
      <c r="Q182" s="7" t="s">
        <v>0</v>
      </c>
      <c r="R182" s="6">
        <v>0</v>
      </c>
      <c r="S182" s="6">
        <v>1142.1400000000001</v>
      </c>
    </row>
    <row r="183" spans="1:19" ht="18" customHeight="1" x14ac:dyDescent="0.3">
      <c r="A183" s="4" t="s">
        <v>267</v>
      </c>
      <c r="B183" s="2" t="s">
        <v>39</v>
      </c>
      <c r="C183" s="2" t="s">
        <v>14</v>
      </c>
      <c r="D183" s="2" t="s">
        <v>38</v>
      </c>
      <c r="E183" s="2" t="s">
        <v>7</v>
      </c>
      <c r="F183" s="2" t="s">
        <v>1</v>
      </c>
      <c r="G183" s="4">
        <v>321</v>
      </c>
      <c r="H183" s="1">
        <v>2922.51</v>
      </c>
      <c r="I183" s="1">
        <v>2413.56</v>
      </c>
      <c r="J183" s="5">
        <v>44256</v>
      </c>
      <c r="K183" s="5">
        <v>44765</v>
      </c>
      <c r="L183" s="4">
        <v>509</v>
      </c>
      <c r="M183" s="1">
        <v>938125.71</v>
      </c>
      <c r="N183" s="1">
        <v>774752.76</v>
      </c>
      <c r="O183" s="1">
        <v>-163372.95000000001</v>
      </c>
      <c r="P183" s="3">
        <v>-17.41</v>
      </c>
      <c r="Q183" s="2" t="s">
        <v>0</v>
      </c>
      <c r="R183" s="1">
        <v>0</v>
      </c>
      <c r="S183" s="1">
        <v>0</v>
      </c>
    </row>
    <row r="184" spans="1:19" ht="18" customHeight="1" x14ac:dyDescent="0.3">
      <c r="A184" s="9" t="s">
        <v>266</v>
      </c>
      <c r="B184" s="7" t="s">
        <v>36</v>
      </c>
      <c r="C184" s="7" t="s">
        <v>9</v>
      </c>
      <c r="D184" s="7" t="s">
        <v>35</v>
      </c>
      <c r="E184" s="7" t="s">
        <v>12</v>
      </c>
      <c r="F184" s="7" t="s">
        <v>1</v>
      </c>
      <c r="G184" s="9">
        <v>447</v>
      </c>
      <c r="H184" s="6">
        <v>860.18</v>
      </c>
      <c r="I184" s="6">
        <v>1153.94</v>
      </c>
      <c r="J184" s="10">
        <v>45094</v>
      </c>
      <c r="K184" s="10">
        <v>45632</v>
      </c>
      <c r="L184" s="9">
        <v>538</v>
      </c>
      <c r="M184" s="6">
        <v>384500.46</v>
      </c>
      <c r="N184" s="6">
        <v>515811.18</v>
      </c>
      <c r="O184" s="6">
        <v>131310.72</v>
      </c>
      <c r="P184" s="8">
        <v>34.15</v>
      </c>
      <c r="Q184" s="7" t="s">
        <v>0</v>
      </c>
      <c r="R184" s="6">
        <v>0</v>
      </c>
      <c r="S184" s="6">
        <v>3131.07</v>
      </c>
    </row>
    <row r="185" spans="1:19" ht="18" customHeight="1" x14ac:dyDescent="0.3">
      <c r="A185" s="4" t="s">
        <v>265</v>
      </c>
      <c r="B185" s="2" t="s">
        <v>33</v>
      </c>
      <c r="C185" s="2" t="s">
        <v>4</v>
      </c>
      <c r="D185" s="2" t="s">
        <v>32</v>
      </c>
      <c r="E185" s="2" t="s">
        <v>7</v>
      </c>
      <c r="F185" s="2" t="s">
        <v>1</v>
      </c>
      <c r="G185" s="4">
        <v>460</v>
      </c>
      <c r="H185" s="1">
        <v>248.74</v>
      </c>
      <c r="I185" s="1">
        <v>391.58</v>
      </c>
      <c r="J185" s="5">
        <v>44855</v>
      </c>
      <c r="K185" s="5">
        <v>44982</v>
      </c>
      <c r="L185" s="4">
        <v>127</v>
      </c>
      <c r="M185" s="1">
        <v>114420.4</v>
      </c>
      <c r="N185" s="1">
        <v>180126.8</v>
      </c>
      <c r="O185" s="1">
        <v>65706.399999999994</v>
      </c>
      <c r="P185" s="3">
        <v>57.43</v>
      </c>
      <c r="Q185" s="2" t="s">
        <v>26</v>
      </c>
      <c r="R185" s="1">
        <v>9855.9599999999991</v>
      </c>
      <c r="S185" s="1">
        <v>0</v>
      </c>
    </row>
    <row r="186" spans="1:19" ht="18" customHeight="1" x14ac:dyDescent="0.3">
      <c r="A186" s="9" t="s">
        <v>264</v>
      </c>
      <c r="B186" s="7" t="s">
        <v>30</v>
      </c>
      <c r="C186" s="7" t="s">
        <v>29</v>
      </c>
      <c r="D186" s="7" t="s">
        <v>28</v>
      </c>
      <c r="E186" s="7" t="s">
        <v>27</v>
      </c>
      <c r="F186" s="7" t="s">
        <v>1</v>
      </c>
      <c r="G186" s="9">
        <v>450</v>
      </c>
      <c r="H186" s="6">
        <v>779.58</v>
      </c>
      <c r="I186" s="6">
        <v>1106.79</v>
      </c>
      <c r="J186" s="10">
        <v>44596</v>
      </c>
      <c r="K186" s="10">
        <v>44670</v>
      </c>
      <c r="L186" s="9">
        <v>74</v>
      </c>
      <c r="M186" s="6">
        <v>350811</v>
      </c>
      <c r="N186" s="6">
        <v>498055.5</v>
      </c>
      <c r="O186" s="6">
        <v>147244.5</v>
      </c>
      <c r="P186" s="8">
        <v>41.97</v>
      </c>
      <c r="Q186" s="7" t="s">
        <v>26</v>
      </c>
      <c r="R186" s="6">
        <v>22086.67</v>
      </c>
      <c r="S186" s="6">
        <v>0</v>
      </c>
    </row>
    <row r="187" spans="1:19" ht="18" customHeight="1" x14ac:dyDescent="0.3">
      <c r="A187" s="4" t="s">
        <v>263</v>
      </c>
      <c r="B187" s="2" t="s">
        <v>24</v>
      </c>
      <c r="C187" s="2" t="s">
        <v>23</v>
      </c>
      <c r="D187" s="2" t="s">
        <v>22</v>
      </c>
      <c r="E187" s="2" t="s">
        <v>7</v>
      </c>
      <c r="F187" s="2" t="s">
        <v>1</v>
      </c>
      <c r="G187" s="4">
        <v>457</v>
      </c>
      <c r="H187" s="1">
        <v>3345.9</v>
      </c>
      <c r="I187" s="1">
        <v>4727.72</v>
      </c>
      <c r="J187" s="5">
        <v>44439</v>
      </c>
      <c r="K187" s="5">
        <v>44930</v>
      </c>
      <c r="L187" s="4">
        <v>491</v>
      </c>
      <c r="M187" s="1">
        <v>1529076.3</v>
      </c>
      <c r="N187" s="1">
        <v>2160568.04</v>
      </c>
      <c r="O187" s="1">
        <v>631491.74</v>
      </c>
      <c r="P187" s="3">
        <v>41.3</v>
      </c>
      <c r="Q187" s="2" t="s">
        <v>0</v>
      </c>
      <c r="R187" s="1">
        <v>0</v>
      </c>
      <c r="S187" s="1">
        <v>53149.17</v>
      </c>
    </row>
    <row r="188" spans="1:19" ht="18" customHeight="1" x14ac:dyDescent="0.3">
      <c r="A188" s="9" t="s">
        <v>262</v>
      </c>
      <c r="B188" s="7" t="s">
        <v>20</v>
      </c>
      <c r="C188" s="7" t="s">
        <v>19</v>
      </c>
      <c r="D188" s="7" t="s">
        <v>18</v>
      </c>
      <c r="E188" s="7" t="s">
        <v>17</v>
      </c>
      <c r="F188" s="7" t="s">
        <v>1</v>
      </c>
      <c r="G188" s="9">
        <v>169</v>
      </c>
      <c r="H188" s="6">
        <v>1749.52</v>
      </c>
      <c r="I188" s="6">
        <v>1452.37</v>
      </c>
      <c r="J188" s="10">
        <v>44434</v>
      </c>
      <c r="K188" s="10">
        <v>45071</v>
      </c>
      <c r="L188" s="9">
        <v>637</v>
      </c>
      <c r="M188" s="6">
        <v>295668.88</v>
      </c>
      <c r="N188" s="6">
        <v>245450.53</v>
      </c>
      <c r="O188" s="6">
        <v>-50218.35</v>
      </c>
      <c r="P188" s="8">
        <v>-16.98</v>
      </c>
      <c r="Q188" s="7" t="s">
        <v>0</v>
      </c>
      <c r="R188" s="6">
        <v>0</v>
      </c>
      <c r="S188" s="6">
        <v>0</v>
      </c>
    </row>
    <row r="189" spans="1:19" ht="18" customHeight="1" x14ac:dyDescent="0.3">
      <c r="A189" s="4" t="s">
        <v>261</v>
      </c>
      <c r="B189" s="2" t="s">
        <v>15</v>
      </c>
      <c r="C189" s="2" t="s">
        <v>14</v>
      </c>
      <c r="D189" s="2" t="s">
        <v>13</v>
      </c>
      <c r="E189" s="2" t="s">
        <v>12</v>
      </c>
      <c r="F189" s="2" t="s">
        <v>1</v>
      </c>
      <c r="G189" s="4">
        <v>215</v>
      </c>
      <c r="H189" s="1">
        <v>2033.73</v>
      </c>
      <c r="I189" s="1">
        <v>1917.37</v>
      </c>
      <c r="J189" s="5">
        <v>44904</v>
      </c>
      <c r="K189" s="5">
        <v>45527</v>
      </c>
      <c r="L189" s="4">
        <v>623</v>
      </c>
      <c r="M189" s="1">
        <v>437251.95</v>
      </c>
      <c r="N189" s="1">
        <v>412234.55</v>
      </c>
      <c r="O189" s="1">
        <v>-25017.4</v>
      </c>
      <c r="P189" s="3">
        <v>-5.72</v>
      </c>
      <c r="Q189" s="2" t="s">
        <v>0</v>
      </c>
      <c r="R189" s="1">
        <v>0</v>
      </c>
      <c r="S189" s="1">
        <v>0</v>
      </c>
    </row>
    <row r="190" spans="1:19" ht="18" customHeight="1" x14ac:dyDescent="0.3">
      <c r="A190" s="9" t="s">
        <v>260</v>
      </c>
      <c r="B190" s="7" t="s">
        <v>10</v>
      </c>
      <c r="C190" s="7" t="s">
        <v>9</v>
      </c>
      <c r="D190" s="7" t="s">
        <v>8</v>
      </c>
      <c r="E190" s="7" t="s">
        <v>7</v>
      </c>
      <c r="F190" s="7" t="s">
        <v>1</v>
      </c>
      <c r="G190" s="9">
        <v>196</v>
      </c>
      <c r="H190" s="6">
        <v>2204.35</v>
      </c>
      <c r="I190" s="6">
        <v>3165.64</v>
      </c>
      <c r="J190" s="10">
        <v>44824</v>
      </c>
      <c r="K190" s="10">
        <v>45569</v>
      </c>
      <c r="L190" s="9">
        <v>745</v>
      </c>
      <c r="M190" s="6">
        <v>432052.6</v>
      </c>
      <c r="N190" s="6">
        <v>620465.43999999994</v>
      </c>
      <c r="O190" s="6">
        <v>188412.84</v>
      </c>
      <c r="P190" s="8">
        <v>43.61</v>
      </c>
      <c r="Q190" s="7" t="s">
        <v>0</v>
      </c>
      <c r="R190" s="6">
        <v>0</v>
      </c>
      <c r="S190" s="6">
        <v>8841.2800000000007</v>
      </c>
    </row>
    <row r="191" spans="1:19" ht="18" customHeight="1" x14ac:dyDescent="0.3">
      <c r="A191" s="4" t="s">
        <v>259</v>
      </c>
      <c r="B191" s="2" t="s">
        <v>5</v>
      </c>
      <c r="C191" s="2" t="s">
        <v>4</v>
      </c>
      <c r="D191" s="2" t="s">
        <v>3</v>
      </c>
      <c r="E191" s="2" t="s">
        <v>2</v>
      </c>
      <c r="F191" s="2" t="s">
        <v>1</v>
      </c>
      <c r="G191" s="4">
        <v>314</v>
      </c>
      <c r="H191" s="1">
        <v>1317.33</v>
      </c>
      <c r="I191" s="1">
        <v>1137.21</v>
      </c>
      <c r="J191" s="5">
        <v>44679</v>
      </c>
      <c r="K191" s="5">
        <v>44779</v>
      </c>
      <c r="L191" s="4">
        <v>100</v>
      </c>
      <c r="M191" s="1">
        <v>413641.62</v>
      </c>
      <c r="N191" s="1">
        <v>357083.94</v>
      </c>
      <c r="O191" s="1">
        <v>-56557.68</v>
      </c>
      <c r="P191" s="3">
        <v>-13.67</v>
      </c>
      <c r="Q191" s="2" t="s">
        <v>26</v>
      </c>
      <c r="R191" s="1">
        <v>0</v>
      </c>
      <c r="S191" s="1">
        <v>0</v>
      </c>
    </row>
    <row r="192" spans="1:19" ht="18" customHeight="1" x14ac:dyDescent="0.3">
      <c r="A192" s="9" t="s">
        <v>258</v>
      </c>
      <c r="B192" s="7" t="s">
        <v>62</v>
      </c>
      <c r="C192" s="7" t="s">
        <v>29</v>
      </c>
      <c r="D192" s="7" t="s">
        <v>61</v>
      </c>
      <c r="E192" s="7" t="s">
        <v>60</v>
      </c>
      <c r="F192" s="7" t="s">
        <v>1</v>
      </c>
      <c r="G192" s="9">
        <v>343</v>
      </c>
      <c r="H192" s="6">
        <v>1447.86</v>
      </c>
      <c r="I192" s="6">
        <v>1561.26</v>
      </c>
      <c r="J192" s="10">
        <v>44492</v>
      </c>
      <c r="K192" s="10">
        <v>45206</v>
      </c>
      <c r="L192" s="9">
        <v>714</v>
      </c>
      <c r="M192" s="6">
        <v>496615.98</v>
      </c>
      <c r="N192" s="6">
        <v>535512.18000000005</v>
      </c>
      <c r="O192" s="6">
        <v>38896.199999999997</v>
      </c>
      <c r="P192" s="8">
        <v>7.83</v>
      </c>
      <c r="Q192" s="7" t="s">
        <v>0</v>
      </c>
      <c r="R192" s="6">
        <v>0</v>
      </c>
      <c r="S192" s="6">
        <v>0</v>
      </c>
    </row>
    <row r="193" spans="1:19" ht="18" customHeight="1" x14ac:dyDescent="0.3">
      <c r="A193" s="4" t="s">
        <v>257</v>
      </c>
      <c r="B193" s="2" t="s">
        <v>58</v>
      </c>
      <c r="C193" s="2" t="s">
        <v>23</v>
      </c>
      <c r="D193" s="2" t="s">
        <v>57</v>
      </c>
      <c r="E193" s="2" t="s">
        <v>56</v>
      </c>
      <c r="F193" s="2" t="s">
        <v>1</v>
      </c>
      <c r="G193" s="4">
        <v>83</v>
      </c>
      <c r="H193" s="1">
        <v>3303.39</v>
      </c>
      <c r="I193" s="1">
        <v>3853.26</v>
      </c>
      <c r="J193" s="5">
        <v>45015</v>
      </c>
      <c r="K193" s="5">
        <v>45830</v>
      </c>
      <c r="L193" s="4">
        <v>815</v>
      </c>
      <c r="M193" s="1">
        <v>274181.37</v>
      </c>
      <c r="N193" s="1">
        <v>319820.58</v>
      </c>
      <c r="O193" s="1">
        <v>45639.21</v>
      </c>
      <c r="P193" s="3">
        <v>16.649999999999999</v>
      </c>
      <c r="Q193" s="2" t="s">
        <v>0</v>
      </c>
      <c r="R193" s="1">
        <v>0</v>
      </c>
      <c r="S193" s="1">
        <v>0</v>
      </c>
    </row>
    <row r="194" spans="1:19" ht="18" customHeight="1" x14ac:dyDescent="0.3">
      <c r="A194" s="9" t="s">
        <v>256</v>
      </c>
      <c r="B194" s="7" t="s">
        <v>54</v>
      </c>
      <c r="C194" s="7" t="s">
        <v>19</v>
      </c>
      <c r="D194" s="7" t="s">
        <v>53</v>
      </c>
      <c r="E194" s="7" t="s">
        <v>52</v>
      </c>
      <c r="F194" s="7" t="s">
        <v>1</v>
      </c>
      <c r="G194" s="9">
        <v>162</v>
      </c>
      <c r="H194" s="6">
        <v>3230.98</v>
      </c>
      <c r="I194" s="6">
        <v>3660.44</v>
      </c>
      <c r="J194" s="10">
        <v>44909</v>
      </c>
      <c r="K194" s="10">
        <v>45252</v>
      </c>
      <c r="L194" s="9">
        <v>343</v>
      </c>
      <c r="M194" s="6">
        <v>523418.76</v>
      </c>
      <c r="N194" s="6">
        <v>592991.28</v>
      </c>
      <c r="O194" s="6">
        <v>69572.52</v>
      </c>
      <c r="P194" s="8">
        <v>13.29</v>
      </c>
      <c r="Q194" s="7" t="s">
        <v>26</v>
      </c>
      <c r="R194" s="6">
        <v>10435.879999999999</v>
      </c>
      <c r="S194" s="6">
        <v>0</v>
      </c>
    </row>
    <row r="195" spans="1:19" ht="18" customHeight="1" x14ac:dyDescent="0.3">
      <c r="A195" s="4" t="s">
        <v>255</v>
      </c>
      <c r="B195" s="2" t="s">
        <v>50</v>
      </c>
      <c r="C195" s="2" t="s">
        <v>14</v>
      </c>
      <c r="D195" s="2" t="s">
        <v>49</v>
      </c>
      <c r="E195" s="2" t="s">
        <v>48</v>
      </c>
      <c r="F195" s="2" t="s">
        <v>1</v>
      </c>
      <c r="G195" s="4">
        <v>14</v>
      </c>
      <c r="H195" s="1">
        <v>2946.7</v>
      </c>
      <c r="I195" s="1">
        <v>3511.1</v>
      </c>
      <c r="J195" s="5">
        <v>44439</v>
      </c>
      <c r="K195" s="5">
        <v>44746</v>
      </c>
      <c r="L195" s="4">
        <v>307</v>
      </c>
      <c r="M195" s="1">
        <v>41253.800000000003</v>
      </c>
      <c r="N195" s="1">
        <v>49155.4</v>
      </c>
      <c r="O195" s="1">
        <v>7901.6</v>
      </c>
      <c r="P195" s="3">
        <v>19.149999999999999</v>
      </c>
      <c r="Q195" s="2" t="s">
        <v>26</v>
      </c>
      <c r="R195" s="1">
        <v>1185.24</v>
      </c>
      <c r="S195" s="1">
        <v>0</v>
      </c>
    </row>
    <row r="196" spans="1:19" ht="18" customHeight="1" x14ac:dyDescent="0.3">
      <c r="A196" s="9" t="s">
        <v>254</v>
      </c>
      <c r="B196" s="7" t="s">
        <v>46</v>
      </c>
      <c r="C196" s="7" t="s">
        <v>9</v>
      </c>
      <c r="D196" s="7" t="s">
        <v>45</v>
      </c>
      <c r="E196" s="7" t="s">
        <v>44</v>
      </c>
      <c r="F196" s="7" t="s">
        <v>1</v>
      </c>
      <c r="G196" s="9">
        <v>52</v>
      </c>
      <c r="H196" s="6">
        <v>2318.69</v>
      </c>
      <c r="I196" s="6">
        <v>3616.31</v>
      </c>
      <c r="J196" s="10">
        <v>44955</v>
      </c>
      <c r="K196" s="10">
        <v>45329</v>
      </c>
      <c r="L196" s="9">
        <v>374</v>
      </c>
      <c r="M196" s="6">
        <v>120571.88</v>
      </c>
      <c r="N196" s="6">
        <v>188048.12</v>
      </c>
      <c r="O196" s="6">
        <v>67476.240000000005</v>
      </c>
      <c r="P196" s="8">
        <v>55.96</v>
      </c>
      <c r="Q196" s="7" t="s">
        <v>0</v>
      </c>
      <c r="R196" s="6">
        <v>0</v>
      </c>
      <c r="S196" s="6">
        <v>0</v>
      </c>
    </row>
    <row r="197" spans="1:19" ht="18" customHeight="1" x14ac:dyDescent="0.3">
      <c r="A197" s="4" t="s">
        <v>253</v>
      </c>
      <c r="B197" s="2" t="s">
        <v>42</v>
      </c>
      <c r="C197" s="2" t="s">
        <v>4</v>
      </c>
      <c r="D197" s="2" t="s">
        <v>41</v>
      </c>
      <c r="E197" s="2" t="s">
        <v>12</v>
      </c>
      <c r="F197" s="2" t="s">
        <v>1</v>
      </c>
      <c r="G197" s="4">
        <v>401</v>
      </c>
      <c r="H197" s="1">
        <v>2189.89</v>
      </c>
      <c r="I197" s="1">
        <v>2814.85</v>
      </c>
      <c r="J197" s="5">
        <v>44875</v>
      </c>
      <c r="K197" s="5">
        <v>45579</v>
      </c>
      <c r="L197" s="4">
        <v>704</v>
      </c>
      <c r="M197" s="1">
        <v>878145.89</v>
      </c>
      <c r="N197" s="1">
        <v>1128754.8500000001</v>
      </c>
      <c r="O197" s="1">
        <v>250608.96</v>
      </c>
      <c r="P197" s="3">
        <v>28.54</v>
      </c>
      <c r="Q197" s="2" t="s">
        <v>0</v>
      </c>
      <c r="R197" s="1">
        <v>0</v>
      </c>
      <c r="S197" s="1">
        <v>15060.9</v>
      </c>
    </row>
    <row r="198" spans="1:19" ht="18" customHeight="1" x14ac:dyDescent="0.3">
      <c r="A198" s="9" t="s">
        <v>252</v>
      </c>
      <c r="B198" s="7" t="s">
        <v>39</v>
      </c>
      <c r="C198" s="7" t="s">
        <v>29</v>
      </c>
      <c r="D198" s="7" t="s">
        <v>38</v>
      </c>
      <c r="E198" s="7" t="s">
        <v>7</v>
      </c>
      <c r="F198" s="7" t="s">
        <v>1</v>
      </c>
      <c r="G198" s="9">
        <v>109</v>
      </c>
      <c r="H198" s="6">
        <v>176.1</v>
      </c>
      <c r="I198" s="6">
        <v>199.92</v>
      </c>
      <c r="J198" s="10">
        <v>44376</v>
      </c>
      <c r="K198" s="10">
        <v>44567</v>
      </c>
      <c r="L198" s="9">
        <v>191</v>
      </c>
      <c r="M198" s="6">
        <v>19194.900000000001</v>
      </c>
      <c r="N198" s="6">
        <v>21791.279999999999</v>
      </c>
      <c r="O198" s="6">
        <v>2596.38</v>
      </c>
      <c r="P198" s="8">
        <v>13.53</v>
      </c>
      <c r="Q198" s="7" t="s">
        <v>26</v>
      </c>
      <c r="R198" s="6">
        <v>389.46</v>
      </c>
      <c r="S198" s="6">
        <v>0</v>
      </c>
    </row>
    <row r="199" spans="1:19" ht="18" customHeight="1" x14ac:dyDescent="0.3">
      <c r="A199" s="4" t="s">
        <v>251</v>
      </c>
      <c r="B199" s="2" t="s">
        <v>36</v>
      </c>
      <c r="C199" s="2" t="s">
        <v>23</v>
      </c>
      <c r="D199" s="2" t="s">
        <v>35</v>
      </c>
      <c r="E199" s="2" t="s">
        <v>12</v>
      </c>
      <c r="F199" s="2" t="s">
        <v>1</v>
      </c>
      <c r="G199" s="4">
        <v>269</v>
      </c>
      <c r="H199" s="1">
        <v>3407.99</v>
      </c>
      <c r="I199" s="1">
        <v>3870.3</v>
      </c>
      <c r="J199" s="5">
        <v>45051</v>
      </c>
      <c r="K199" s="5">
        <v>45130</v>
      </c>
      <c r="L199" s="4">
        <v>79</v>
      </c>
      <c r="M199" s="1">
        <v>916749.31</v>
      </c>
      <c r="N199" s="1">
        <v>1041110.7</v>
      </c>
      <c r="O199" s="1">
        <v>124361.39</v>
      </c>
      <c r="P199" s="3">
        <v>13.57</v>
      </c>
      <c r="Q199" s="2" t="s">
        <v>26</v>
      </c>
      <c r="R199" s="1">
        <v>18654.21</v>
      </c>
      <c r="S199" s="1">
        <v>0</v>
      </c>
    </row>
    <row r="200" spans="1:19" ht="18" customHeight="1" x14ac:dyDescent="0.3">
      <c r="A200" s="9" t="s">
        <v>250</v>
      </c>
      <c r="B200" s="7" t="s">
        <v>33</v>
      </c>
      <c r="C200" s="7" t="s">
        <v>19</v>
      </c>
      <c r="D200" s="7" t="s">
        <v>32</v>
      </c>
      <c r="E200" s="7" t="s">
        <v>7</v>
      </c>
      <c r="F200" s="7" t="s">
        <v>1</v>
      </c>
      <c r="G200" s="9">
        <v>408</v>
      </c>
      <c r="H200" s="6">
        <v>214.75</v>
      </c>
      <c r="I200" s="6">
        <v>220.72</v>
      </c>
      <c r="J200" s="10">
        <v>45054</v>
      </c>
      <c r="K200" s="10">
        <v>45876</v>
      </c>
      <c r="L200" s="9">
        <v>822</v>
      </c>
      <c r="M200" s="6">
        <v>87618</v>
      </c>
      <c r="N200" s="6">
        <v>90053.759999999995</v>
      </c>
      <c r="O200" s="6">
        <v>2435.7600000000002</v>
      </c>
      <c r="P200" s="8">
        <v>2.78</v>
      </c>
      <c r="Q200" s="7" t="s">
        <v>0</v>
      </c>
      <c r="R200" s="6">
        <v>0</v>
      </c>
      <c r="S200" s="6">
        <v>0</v>
      </c>
    </row>
    <row r="201" spans="1:19" ht="18" customHeight="1" x14ac:dyDescent="0.3">
      <c r="A201" s="4" t="s">
        <v>249</v>
      </c>
      <c r="B201" s="2" t="s">
        <v>30</v>
      </c>
      <c r="C201" s="2" t="s">
        <v>14</v>
      </c>
      <c r="D201" s="2" t="s">
        <v>28</v>
      </c>
      <c r="E201" s="2" t="s">
        <v>27</v>
      </c>
      <c r="F201" s="2" t="s">
        <v>1</v>
      </c>
      <c r="G201" s="4">
        <v>248</v>
      </c>
      <c r="H201" s="1">
        <v>3355.02</v>
      </c>
      <c r="I201" s="1">
        <v>5063.17</v>
      </c>
      <c r="J201" s="5">
        <v>45078</v>
      </c>
      <c r="K201" s="5">
        <v>45825</v>
      </c>
      <c r="L201" s="4">
        <v>747</v>
      </c>
      <c r="M201" s="1">
        <v>832044.96</v>
      </c>
      <c r="N201" s="1">
        <v>1255666.1599999999</v>
      </c>
      <c r="O201" s="1">
        <v>423621.2</v>
      </c>
      <c r="P201" s="3">
        <v>50.91</v>
      </c>
      <c r="Q201" s="2" t="s">
        <v>0</v>
      </c>
      <c r="R201" s="1">
        <v>0</v>
      </c>
      <c r="S201" s="1">
        <v>32362.12</v>
      </c>
    </row>
    <row r="202" spans="1:19" ht="18" customHeight="1" x14ac:dyDescent="0.3">
      <c r="A202" s="9" t="s">
        <v>248</v>
      </c>
      <c r="B202" s="7" t="s">
        <v>24</v>
      </c>
      <c r="C202" s="7" t="s">
        <v>9</v>
      </c>
      <c r="D202" s="7" t="s">
        <v>22</v>
      </c>
      <c r="E202" s="7" t="s">
        <v>7</v>
      </c>
      <c r="F202" s="7" t="s">
        <v>1</v>
      </c>
      <c r="G202" s="9">
        <v>58</v>
      </c>
      <c r="H202" s="6">
        <v>1092.9000000000001</v>
      </c>
      <c r="I202" s="6">
        <v>1280.79</v>
      </c>
      <c r="J202" s="10">
        <v>44230</v>
      </c>
      <c r="K202" s="10">
        <v>44478</v>
      </c>
      <c r="L202" s="9">
        <v>248</v>
      </c>
      <c r="M202" s="6">
        <v>63388.2</v>
      </c>
      <c r="N202" s="6">
        <v>74285.820000000007</v>
      </c>
      <c r="O202" s="6">
        <v>10897.62</v>
      </c>
      <c r="P202" s="8">
        <v>17.190000000000001</v>
      </c>
      <c r="Q202" s="7" t="s">
        <v>26</v>
      </c>
      <c r="R202" s="6">
        <v>1634.64</v>
      </c>
      <c r="S202" s="6">
        <v>0</v>
      </c>
    </row>
    <row r="203" spans="1:19" ht="18" customHeight="1" x14ac:dyDescent="0.3">
      <c r="A203" s="4" t="s">
        <v>247</v>
      </c>
      <c r="B203" s="2" t="s">
        <v>20</v>
      </c>
      <c r="C203" s="2" t="s">
        <v>4</v>
      </c>
      <c r="D203" s="2" t="s">
        <v>18</v>
      </c>
      <c r="E203" s="2" t="s">
        <v>17</v>
      </c>
      <c r="F203" s="2" t="s">
        <v>1</v>
      </c>
      <c r="G203" s="4">
        <v>469</v>
      </c>
      <c r="H203" s="1">
        <v>922.36</v>
      </c>
      <c r="I203" s="1">
        <v>739.87</v>
      </c>
      <c r="J203" s="5">
        <v>44664</v>
      </c>
      <c r="K203" s="5">
        <v>44707</v>
      </c>
      <c r="L203" s="4">
        <v>43</v>
      </c>
      <c r="M203" s="1">
        <v>432586.84</v>
      </c>
      <c r="N203" s="1">
        <v>346999.03</v>
      </c>
      <c r="O203" s="1">
        <v>-85587.81</v>
      </c>
      <c r="P203" s="3">
        <v>-19.79</v>
      </c>
      <c r="Q203" s="2" t="s">
        <v>26</v>
      </c>
      <c r="R203" s="1">
        <v>0</v>
      </c>
      <c r="S203" s="1">
        <v>0</v>
      </c>
    </row>
    <row r="204" spans="1:19" ht="18" customHeight="1" x14ac:dyDescent="0.3">
      <c r="A204" s="9" t="s">
        <v>246</v>
      </c>
      <c r="B204" s="7" t="s">
        <v>15</v>
      </c>
      <c r="C204" s="7" t="s">
        <v>29</v>
      </c>
      <c r="D204" s="7" t="s">
        <v>13</v>
      </c>
      <c r="E204" s="7" t="s">
        <v>12</v>
      </c>
      <c r="F204" s="7" t="s">
        <v>1</v>
      </c>
      <c r="G204" s="9">
        <v>258</v>
      </c>
      <c r="H204" s="6">
        <v>2822.87</v>
      </c>
      <c r="I204" s="6">
        <v>2526.42</v>
      </c>
      <c r="J204" s="10">
        <v>44298</v>
      </c>
      <c r="K204" s="10">
        <v>44959</v>
      </c>
      <c r="L204" s="9">
        <v>661</v>
      </c>
      <c r="M204" s="6">
        <v>728300.46</v>
      </c>
      <c r="N204" s="6">
        <v>651816.36</v>
      </c>
      <c r="O204" s="6">
        <v>-76484.100000000006</v>
      </c>
      <c r="P204" s="8">
        <v>-10.5</v>
      </c>
      <c r="Q204" s="7" t="s">
        <v>0</v>
      </c>
      <c r="R204" s="6">
        <v>0</v>
      </c>
      <c r="S204" s="6">
        <v>0</v>
      </c>
    </row>
    <row r="205" spans="1:19" ht="18" customHeight="1" x14ac:dyDescent="0.3">
      <c r="A205" s="4" t="s">
        <v>245</v>
      </c>
      <c r="B205" s="2" t="s">
        <v>10</v>
      </c>
      <c r="C205" s="2" t="s">
        <v>23</v>
      </c>
      <c r="D205" s="2" t="s">
        <v>8</v>
      </c>
      <c r="E205" s="2" t="s">
        <v>7</v>
      </c>
      <c r="F205" s="2" t="s">
        <v>1</v>
      </c>
      <c r="G205" s="4">
        <v>95</v>
      </c>
      <c r="H205" s="1">
        <v>98.57</v>
      </c>
      <c r="I205" s="1">
        <v>88.93</v>
      </c>
      <c r="J205" s="5">
        <v>45086</v>
      </c>
      <c r="K205" s="5">
        <v>45961</v>
      </c>
      <c r="L205" s="4">
        <v>875</v>
      </c>
      <c r="M205" s="1">
        <v>9364.15</v>
      </c>
      <c r="N205" s="1">
        <v>8448.35</v>
      </c>
      <c r="O205" s="1">
        <v>-915.8</v>
      </c>
      <c r="P205" s="3">
        <v>-9.7799999999999994</v>
      </c>
      <c r="Q205" s="2" t="s">
        <v>0</v>
      </c>
      <c r="R205" s="1">
        <v>0</v>
      </c>
      <c r="S205" s="1">
        <v>0</v>
      </c>
    </row>
    <row r="206" spans="1:19" ht="18" customHeight="1" x14ac:dyDescent="0.3">
      <c r="A206" s="9" t="s">
        <v>244</v>
      </c>
      <c r="B206" s="7" t="s">
        <v>5</v>
      </c>
      <c r="C206" s="7" t="s">
        <v>19</v>
      </c>
      <c r="D206" s="7" t="s">
        <v>3</v>
      </c>
      <c r="E206" s="7" t="s">
        <v>2</v>
      </c>
      <c r="F206" s="7" t="s">
        <v>1</v>
      </c>
      <c r="G206" s="9">
        <v>222</v>
      </c>
      <c r="H206" s="6">
        <v>3149.73</v>
      </c>
      <c r="I206" s="6">
        <v>2787.42</v>
      </c>
      <c r="J206" s="10">
        <v>44997</v>
      </c>
      <c r="K206" s="10">
        <v>45380</v>
      </c>
      <c r="L206" s="9">
        <v>383</v>
      </c>
      <c r="M206" s="6">
        <v>699240.06</v>
      </c>
      <c r="N206" s="6">
        <v>618807.24</v>
      </c>
      <c r="O206" s="6">
        <v>-80432.820000000007</v>
      </c>
      <c r="P206" s="8">
        <v>-11.5</v>
      </c>
      <c r="Q206" s="7" t="s">
        <v>0</v>
      </c>
      <c r="R206" s="6">
        <v>0</v>
      </c>
      <c r="S206" s="6">
        <v>0</v>
      </c>
    </row>
    <row r="207" spans="1:19" ht="18" customHeight="1" x14ac:dyDescent="0.3">
      <c r="A207" s="4" t="s">
        <v>243</v>
      </c>
      <c r="B207" s="2" t="s">
        <v>62</v>
      </c>
      <c r="C207" s="2" t="s">
        <v>14</v>
      </c>
      <c r="D207" s="2" t="s">
        <v>61</v>
      </c>
      <c r="E207" s="2" t="s">
        <v>60</v>
      </c>
      <c r="F207" s="2" t="s">
        <v>1</v>
      </c>
      <c r="G207" s="4">
        <v>37</v>
      </c>
      <c r="H207" s="1">
        <v>1952.85</v>
      </c>
      <c r="I207" s="1">
        <v>2155.65</v>
      </c>
      <c r="J207" s="5">
        <v>44416</v>
      </c>
      <c r="K207" s="5">
        <v>45242</v>
      </c>
      <c r="L207" s="4">
        <v>826</v>
      </c>
      <c r="M207" s="1">
        <v>72255.45</v>
      </c>
      <c r="N207" s="1">
        <v>79759.05</v>
      </c>
      <c r="O207" s="1">
        <v>7503.6</v>
      </c>
      <c r="P207" s="3">
        <v>10.38</v>
      </c>
      <c r="Q207" s="2" t="s">
        <v>0</v>
      </c>
      <c r="R207" s="1">
        <v>0</v>
      </c>
      <c r="S207" s="1">
        <v>0</v>
      </c>
    </row>
    <row r="208" spans="1:19" ht="18" customHeight="1" x14ac:dyDescent="0.3">
      <c r="A208" s="9" t="s">
        <v>242</v>
      </c>
      <c r="B208" s="7" t="s">
        <v>58</v>
      </c>
      <c r="C208" s="7" t="s">
        <v>9</v>
      </c>
      <c r="D208" s="7" t="s">
        <v>57</v>
      </c>
      <c r="E208" s="7" t="s">
        <v>56</v>
      </c>
      <c r="F208" s="7" t="s">
        <v>1</v>
      </c>
      <c r="G208" s="9">
        <v>220</v>
      </c>
      <c r="H208" s="6">
        <v>1707.71</v>
      </c>
      <c r="I208" s="6">
        <v>2728.37</v>
      </c>
      <c r="J208" s="10">
        <v>44656</v>
      </c>
      <c r="K208" s="10">
        <v>45267</v>
      </c>
      <c r="L208" s="9">
        <v>611</v>
      </c>
      <c r="M208" s="6">
        <v>375696.2</v>
      </c>
      <c r="N208" s="6">
        <v>600241.4</v>
      </c>
      <c r="O208" s="6">
        <v>224545.2</v>
      </c>
      <c r="P208" s="8">
        <v>59.77</v>
      </c>
      <c r="Q208" s="7" t="s">
        <v>0</v>
      </c>
      <c r="R208" s="6">
        <v>0</v>
      </c>
      <c r="S208" s="6">
        <v>12454.52</v>
      </c>
    </row>
    <row r="209" spans="1:19" ht="18" customHeight="1" x14ac:dyDescent="0.3">
      <c r="A209" s="4" t="s">
        <v>241</v>
      </c>
      <c r="B209" s="2" t="s">
        <v>54</v>
      </c>
      <c r="C209" s="2" t="s">
        <v>4</v>
      </c>
      <c r="D209" s="2" t="s">
        <v>53</v>
      </c>
      <c r="E209" s="2" t="s">
        <v>52</v>
      </c>
      <c r="F209" s="2" t="s">
        <v>1</v>
      </c>
      <c r="G209" s="4">
        <v>227</v>
      </c>
      <c r="H209" s="1">
        <v>291.39</v>
      </c>
      <c r="I209" s="1">
        <v>391.12</v>
      </c>
      <c r="J209" s="5">
        <v>44420</v>
      </c>
      <c r="K209" s="5">
        <v>45234</v>
      </c>
      <c r="L209" s="4">
        <v>814</v>
      </c>
      <c r="M209" s="1">
        <v>66145.53</v>
      </c>
      <c r="N209" s="1">
        <v>88784.24</v>
      </c>
      <c r="O209" s="1">
        <v>22638.71</v>
      </c>
      <c r="P209" s="3">
        <v>34.229999999999997</v>
      </c>
      <c r="Q209" s="2" t="s">
        <v>0</v>
      </c>
      <c r="R209" s="1">
        <v>0</v>
      </c>
      <c r="S209" s="1">
        <v>0</v>
      </c>
    </row>
    <row r="210" spans="1:19" ht="18" customHeight="1" x14ac:dyDescent="0.3">
      <c r="A210" s="9" t="s">
        <v>240</v>
      </c>
      <c r="B210" s="7" t="s">
        <v>50</v>
      </c>
      <c r="C210" s="7" t="s">
        <v>29</v>
      </c>
      <c r="D210" s="7" t="s">
        <v>49</v>
      </c>
      <c r="E210" s="7" t="s">
        <v>48</v>
      </c>
      <c r="F210" s="7" t="s">
        <v>1</v>
      </c>
      <c r="G210" s="9">
        <v>139</v>
      </c>
      <c r="H210" s="6">
        <v>2401.7199999999998</v>
      </c>
      <c r="I210" s="6">
        <v>3257.52</v>
      </c>
      <c r="J210" s="10">
        <v>44964</v>
      </c>
      <c r="K210" s="10">
        <v>45328</v>
      </c>
      <c r="L210" s="9">
        <v>364</v>
      </c>
      <c r="M210" s="6">
        <v>333839.08</v>
      </c>
      <c r="N210" s="6">
        <v>452795.28</v>
      </c>
      <c r="O210" s="6">
        <v>118956.2</v>
      </c>
      <c r="P210" s="8">
        <v>35.630000000000003</v>
      </c>
      <c r="Q210" s="7" t="s">
        <v>26</v>
      </c>
      <c r="R210" s="6">
        <v>17843.43</v>
      </c>
      <c r="S210" s="6">
        <v>0</v>
      </c>
    </row>
    <row r="211" spans="1:19" ht="18" customHeight="1" x14ac:dyDescent="0.3">
      <c r="A211" s="4" t="s">
        <v>239</v>
      </c>
      <c r="B211" s="2" t="s">
        <v>46</v>
      </c>
      <c r="C211" s="2" t="s">
        <v>23</v>
      </c>
      <c r="D211" s="2" t="s">
        <v>45</v>
      </c>
      <c r="E211" s="2" t="s">
        <v>44</v>
      </c>
      <c r="F211" s="2" t="s">
        <v>1</v>
      </c>
      <c r="G211" s="4">
        <v>88</v>
      </c>
      <c r="H211" s="1">
        <v>1149.08</v>
      </c>
      <c r="I211" s="1">
        <v>1222.25</v>
      </c>
      <c r="J211" s="5">
        <v>44306</v>
      </c>
      <c r="K211" s="5">
        <v>44819</v>
      </c>
      <c r="L211" s="4">
        <v>513</v>
      </c>
      <c r="M211" s="1">
        <v>101119.03999999999</v>
      </c>
      <c r="N211" s="1">
        <v>107558</v>
      </c>
      <c r="O211" s="1">
        <v>6438.96</v>
      </c>
      <c r="P211" s="3">
        <v>6.37</v>
      </c>
      <c r="Q211" s="2" t="s">
        <v>0</v>
      </c>
      <c r="R211" s="1">
        <v>0</v>
      </c>
      <c r="S211" s="1">
        <v>0</v>
      </c>
    </row>
    <row r="212" spans="1:19" ht="18" customHeight="1" x14ac:dyDescent="0.3">
      <c r="A212" s="9" t="s">
        <v>238</v>
      </c>
      <c r="B212" s="7" t="s">
        <v>42</v>
      </c>
      <c r="C212" s="7" t="s">
        <v>19</v>
      </c>
      <c r="D212" s="7" t="s">
        <v>41</v>
      </c>
      <c r="E212" s="7" t="s">
        <v>12</v>
      </c>
      <c r="F212" s="7" t="s">
        <v>1</v>
      </c>
      <c r="G212" s="9">
        <v>265</v>
      </c>
      <c r="H212" s="6">
        <v>1194.33</v>
      </c>
      <c r="I212" s="6">
        <v>1450.74</v>
      </c>
      <c r="J212" s="10">
        <v>44498</v>
      </c>
      <c r="K212" s="10">
        <v>45380</v>
      </c>
      <c r="L212" s="9">
        <v>882</v>
      </c>
      <c r="M212" s="6">
        <v>316497.45</v>
      </c>
      <c r="N212" s="6">
        <v>384446.1</v>
      </c>
      <c r="O212" s="6">
        <v>67948.649999999994</v>
      </c>
      <c r="P212" s="8">
        <v>21.47</v>
      </c>
      <c r="Q212" s="7" t="s">
        <v>0</v>
      </c>
      <c r="R212" s="6">
        <v>0</v>
      </c>
      <c r="S212" s="6">
        <v>0</v>
      </c>
    </row>
    <row r="213" spans="1:19" ht="18" customHeight="1" x14ac:dyDescent="0.3">
      <c r="A213" s="4" t="s">
        <v>237</v>
      </c>
      <c r="B213" s="2" t="s">
        <v>39</v>
      </c>
      <c r="C213" s="2" t="s">
        <v>14</v>
      </c>
      <c r="D213" s="2" t="s">
        <v>38</v>
      </c>
      <c r="E213" s="2" t="s">
        <v>7</v>
      </c>
      <c r="F213" s="2" t="s">
        <v>1</v>
      </c>
      <c r="G213" s="4">
        <v>245</v>
      </c>
      <c r="H213" s="1">
        <v>57.29</v>
      </c>
      <c r="I213" s="1">
        <v>64.010000000000005</v>
      </c>
      <c r="J213" s="5">
        <v>44304</v>
      </c>
      <c r="K213" s="5">
        <v>44443</v>
      </c>
      <c r="L213" s="4">
        <v>139</v>
      </c>
      <c r="M213" s="1">
        <v>14036.05</v>
      </c>
      <c r="N213" s="1">
        <v>15682.45</v>
      </c>
      <c r="O213" s="1">
        <v>1646.4</v>
      </c>
      <c r="P213" s="3">
        <v>11.73</v>
      </c>
      <c r="Q213" s="2" t="s">
        <v>26</v>
      </c>
      <c r="R213" s="1">
        <v>246.96</v>
      </c>
      <c r="S213" s="1">
        <v>0</v>
      </c>
    </row>
    <row r="214" spans="1:19" ht="18" customHeight="1" x14ac:dyDescent="0.3">
      <c r="A214" s="9" t="s">
        <v>236</v>
      </c>
      <c r="B214" s="7" t="s">
        <v>36</v>
      </c>
      <c r="C214" s="7" t="s">
        <v>9</v>
      </c>
      <c r="D214" s="7" t="s">
        <v>35</v>
      </c>
      <c r="E214" s="7" t="s">
        <v>12</v>
      </c>
      <c r="F214" s="7" t="s">
        <v>1</v>
      </c>
      <c r="G214" s="9">
        <v>26</v>
      </c>
      <c r="H214" s="6">
        <v>722.8</v>
      </c>
      <c r="I214" s="6">
        <v>540.25</v>
      </c>
      <c r="J214" s="10">
        <v>44557</v>
      </c>
      <c r="K214" s="10">
        <v>45421</v>
      </c>
      <c r="L214" s="9">
        <v>864</v>
      </c>
      <c r="M214" s="6">
        <v>18792.8</v>
      </c>
      <c r="N214" s="6">
        <v>14046.5</v>
      </c>
      <c r="O214" s="6">
        <v>-4746.3</v>
      </c>
      <c r="P214" s="8">
        <v>-25.26</v>
      </c>
      <c r="Q214" s="7" t="s">
        <v>0</v>
      </c>
      <c r="R214" s="6">
        <v>0</v>
      </c>
      <c r="S214" s="6">
        <v>0</v>
      </c>
    </row>
    <row r="215" spans="1:19" ht="18" customHeight="1" x14ac:dyDescent="0.3">
      <c r="A215" s="4" t="s">
        <v>235</v>
      </c>
      <c r="B215" s="2" t="s">
        <v>33</v>
      </c>
      <c r="C215" s="2" t="s">
        <v>4</v>
      </c>
      <c r="D215" s="2" t="s">
        <v>32</v>
      </c>
      <c r="E215" s="2" t="s">
        <v>7</v>
      </c>
      <c r="F215" s="2" t="s">
        <v>1</v>
      </c>
      <c r="G215" s="4">
        <v>477</v>
      </c>
      <c r="H215" s="1">
        <v>691.88</v>
      </c>
      <c r="I215" s="1">
        <v>724.58</v>
      </c>
      <c r="J215" s="5">
        <v>44446</v>
      </c>
      <c r="K215" s="5">
        <v>45079</v>
      </c>
      <c r="L215" s="4">
        <v>633</v>
      </c>
      <c r="M215" s="1">
        <v>330026.76</v>
      </c>
      <c r="N215" s="1">
        <v>345624.66</v>
      </c>
      <c r="O215" s="1">
        <v>15597.9</v>
      </c>
      <c r="P215" s="3">
        <v>4.7300000000000004</v>
      </c>
      <c r="Q215" s="2" t="s">
        <v>0</v>
      </c>
      <c r="R215" s="1">
        <v>0</v>
      </c>
      <c r="S215" s="1">
        <v>0</v>
      </c>
    </row>
    <row r="216" spans="1:19" ht="18" customHeight="1" x14ac:dyDescent="0.3">
      <c r="A216" s="9" t="s">
        <v>234</v>
      </c>
      <c r="B216" s="7" t="s">
        <v>30</v>
      </c>
      <c r="C216" s="7" t="s">
        <v>29</v>
      </c>
      <c r="D216" s="7" t="s">
        <v>28</v>
      </c>
      <c r="E216" s="7" t="s">
        <v>27</v>
      </c>
      <c r="F216" s="7" t="s">
        <v>1</v>
      </c>
      <c r="G216" s="9">
        <v>360</v>
      </c>
      <c r="H216" s="6">
        <v>3063.78</v>
      </c>
      <c r="I216" s="6">
        <v>2453.8200000000002</v>
      </c>
      <c r="J216" s="10">
        <v>44723</v>
      </c>
      <c r="K216" s="10">
        <v>45305</v>
      </c>
      <c r="L216" s="9">
        <v>582</v>
      </c>
      <c r="M216" s="6">
        <v>1102960.8</v>
      </c>
      <c r="N216" s="6">
        <v>883375.2</v>
      </c>
      <c r="O216" s="6">
        <v>-219585.6</v>
      </c>
      <c r="P216" s="8">
        <v>-19.91</v>
      </c>
      <c r="Q216" s="7" t="s">
        <v>0</v>
      </c>
      <c r="R216" s="6">
        <v>0</v>
      </c>
      <c r="S216" s="6">
        <v>0</v>
      </c>
    </row>
    <row r="217" spans="1:19" ht="18" customHeight="1" x14ac:dyDescent="0.3">
      <c r="A217" s="4" t="s">
        <v>233</v>
      </c>
      <c r="B217" s="2" t="s">
        <v>24</v>
      </c>
      <c r="C217" s="2" t="s">
        <v>23</v>
      </c>
      <c r="D217" s="2" t="s">
        <v>22</v>
      </c>
      <c r="E217" s="2" t="s">
        <v>7</v>
      </c>
      <c r="F217" s="2" t="s">
        <v>1</v>
      </c>
      <c r="G217" s="4">
        <v>38</v>
      </c>
      <c r="H217" s="1">
        <v>1988.69</v>
      </c>
      <c r="I217" s="1">
        <v>2228.37</v>
      </c>
      <c r="J217" s="5">
        <v>44796</v>
      </c>
      <c r="K217" s="5">
        <v>44800</v>
      </c>
      <c r="L217" s="4">
        <v>4</v>
      </c>
      <c r="M217" s="1">
        <v>75570.22</v>
      </c>
      <c r="N217" s="1">
        <v>84678.06</v>
      </c>
      <c r="O217" s="1">
        <v>9107.84</v>
      </c>
      <c r="P217" s="3">
        <v>12.05</v>
      </c>
      <c r="Q217" s="2" t="s">
        <v>26</v>
      </c>
      <c r="R217" s="1">
        <v>1366.18</v>
      </c>
      <c r="S217" s="1">
        <v>0</v>
      </c>
    </row>
    <row r="218" spans="1:19" ht="18" customHeight="1" x14ac:dyDescent="0.3">
      <c r="A218" s="9" t="s">
        <v>232</v>
      </c>
      <c r="B218" s="7" t="s">
        <v>20</v>
      </c>
      <c r="C218" s="7" t="s">
        <v>19</v>
      </c>
      <c r="D218" s="7" t="s">
        <v>18</v>
      </c>
      <c r="E218" s="7" t="s">
        <v>17</v>
      </c>
      <c r="F218" s="7" t="s">
        <v>1</v>
      </c>
      <c r="G218" s="9">
        <v>26</v>
      </c>
      <c r="H218" s="6">
        <v>3393.83</v>
      </c>
      <c r="I218" s="6">
        <v>4148.42</v>
      </c>
      <c r="J218" s="10">
        <v>45093</v>
      </c>
      <c r="K218" s="10">
        <v>45532</v>
      </c>
      <c r="L218" s="9">
        <v>439</v>
      </c>
      <c r="M218" s="6">
        <v>88239.58</v>
      </c>
      <c r="N218" s="6">
        <v>107858.92</v>
      </c>
      <c r="O218" s="6">
        <v>19619.34</v>
      </c>
      <c r="P218" s="8">
        <v>22.23</v>
      </c>
      <c r="Q218" s="7" t="s">
        <v>0</v>
      </c>
      <c r="R218" s="6">
        <v>0</v>
      </c>
      <c r="S218" s="6">
        <v>0</v>
      </c>
    </row>
    <row r="219" spans="1:19" ht="18" customHeight="1" x14ac:dyDescent="0.3">
      <c r="A219" s="4" t="s">
        <v>231</v>
      </c>
      <c r="B219" s="2" t="s">
        <v>15</v>
      </c>
      <c r="C219" s="2" t="s">
        <v>14</v>
      </c>
      <c r="D219" s="2" t="s">
        <v>13</v>
      </c>
      <c r="E219" s="2" t="s">
        <v>12</v>
      </c>
      <c r="F219" s="2" t="s">
        <v>1</v>
      </c>
      <c r="G219" s="4">
        <v>119</v>
      </c>
      <c r="H219" s="1">
        <v>2601.0100000000002</v>
      </c>
      <c r="I219" s="1">
        <v>3772.95</v>
      </c>
      <c r="J219" s="5">
        <v>45005</v>
      </c>
      <c r="K219" s="5">
        <v>45417</v>
      </c>
      <c r="L219" s="4">
        <v>412</v>
      </c>
      <c r="M219" s="1">
        <v>309520.19</v>
      </c>
      <c r="N219" s="1">
        <v>448981.05</v>
      </c>
      <c r="O219" s="1">
        <v>139460.85999999999</v>
      </c>
      <c r="P219" s="3">
        <v>45.06</v>
      </c>
      <c r="Q219" s="2" t="s">
        <v>0</v>
      </c>
      <c r="R219" s="1">
        <v>0</v>
      </c>
      <c r="S219" s="1">
        <v>3946.09</v>
      </c>
    </row>
    <row r="220" spans="1:19" ht="18" customHeight="1" x14ac:dyDescent="0.3">
      <c r="A220" s="9" t="s">
        <v>230</v>
      </c>
      <c r="B220" s="7" t="s">
        <v>10</v>
      </c>
      <c r="C220" s="7" t="s">
        <v>9</v>
      </c>
      <c r="D220" s="7" t="s">
        <v>8</v>
      </c>
      <c r="E220" s="7" t="s">
        <v>7</v>
      </c>
      <c r="F220" s="7" t="s">
        <v>1</v>
      </c>
      <c r="G220" s="9">
        <v>123</v>
      </c>
      <c r="H220" s="6">
        <v>2489.7800000000002</v>
      </c>
      <c r="I220" s="6">
        <v>3228.63</v>
      </c>
      <c r="J220" s="10">
        <v>44311</v>
      </c>
      <c r="K220" s="10">
        <v>44665</v>
      </c>
      <c r="L220" s="9">
        <v>354</v>
      </c>
      <c r="M220" s="6">
        <v>306242.94</v>
      </c>
      <c r="N220" s="6">
        <v>397121.49</v>
      </c>
      <c r="O220" s="6">
        <v>90878.55</v>
      </c>
      <c r="P220" s="8">
        <v>29.68</v>
      </c>
      <c r="Q220" s="7" t="s">
        <v>26</v>
      </c>
      <c r="R220" s="6">
        <v>13631.78</v>
      </c>
      <c r="S220" s="6">
        <v>0</v>
      </c>
    </row>
    <row r="221" spans="1:19" ht="18" customHeight="1" x14ac:dyDescent="0.3">
      <c r="A221" s="4" t="s">
        <v>229</v>
      </c>
      <c r="B221" s="2" t="s">
        <v>5</v>
      </c>
      <c r="C221" s="2" t="s">
        <v>4</v>
      </c>
      <c r="D221" s="2" t="s">
        <v>3</v>
      </c>
      <c r="E221" s="2" t="s">
        <v>2</v>
      </c>
      <c r="F221" s="2" t="s">
        <v>1</v>
      </c>
      <c r="G221" s="4">
        <v>81</v>
      </c>
      <c r="H221" s="1">
        <v>1093.1099999999999</v>
      </c>
      <c r="I221" s="1">
        <v>1494.57</v>
      </c>
      <c r="J221" s="5">
        <v>44367</v>
      </c>
      <c r="K221" s="5">
        <v>44860</v>
      </c>
      <c r="L221" s="4">
        <v>493</v>
      </c>
      <c r="M221" s="1">
        <v>88541.91</v>
      </c>
      <c r="N221" s="1">
        <v>121060.17</v>
      </c>
      <c r="O221" s="1">
        <v>32518.26</v>
      </c>
      <c r="P221" s="3">
        <v>36.729999999999997</v>
      </c>
      <c r="Q221" s="2" t="s">
        <v>0</v>
      </c>
      <c r="R221" s="1">
        <v>0</v>
      </c>
      <c r="S221" s="1">
        <v>0</v>
      </c>
    </row>
    <row r="222" spans="1:19" ht="18" customHeight="1" x14ac:dyDescent="0.3">
      <c r="A222" s="9" t="s">
        <v>228</v>
      </c>
      <c r="B222" s="7" t="s">
        <v>62</v>
      </c>
      <c r="C222" s="7" t="s">
        <v>29</v>
      </c>
      <c r="D222" s="7" t="s">
        <v>61</v>
      </c>
      <c r="E222" s="7" t="s">
        <v>60</v>
      </c>
      <c r="F222" s="7" t="s">
        <v>1</v>
      </c>
      <c r="G222" s="9">
        <v>356</v>
      </c>
      <c r="H222" s="6">
        <v>2661.72</v>
      </c>
      <c r="I222" s="6">
        <v>4106.93</v>
      </c>
      <c r="J222" s="10">
        <v>44696</v>
      </c>
      <c r="K222" s="10">
        <v>45189</v>
      </c>
      <c r="L222" s="9">
        <v>493</v>
      </c>
      <c r="M222" s="6">
        <v>947572.32</v>
      </c>
      <c r="N222" s="6">
        <v>1462067.08</v>
      </c>
      <c r="O222" s="6">
        <v>514494.76</v>
      </c>
      <c r="P222" s="8">
        <v>54.3</v>
      </c>
      <c r="Q222" s="7" t="s">
        <v>0</v>
      </c>
      <c r="R222" s="6">
        <v>0</v>
      </c>
      <c r="S222" s="6">
        <v>41449.480000000003</v>
      </c>
    </row>
    <row r="223" spans="1:19" ht="18" customHeight="1" x14ac:dyDescent="0.3">
      <c r="A223" s="4" t="s">
        <v>227</v>
      </c>
      <c r="B223" s="2" t="s">
        <v>58</v>
      </c>
      <c r="C223" s="2" t="s">
        <v>23</v>
      </c>
      <c r="D223" s="2" t="s">
        <v>57</v>
      </c>
      <c r="E223" s="2" t="s">
        <v>56</v>
      </c>
      <c r="F223" s="2" t="s">
        <v>1</v>
      </c>
      <c r="G223" s="4">
        <v>203</v>
      </c>
      <c r="H223" s="1">
        <v>1255.73</v>
      </c>
      <c r="I223" s="1">
        <v>1944.51</v>
      </c>
      <c r="J223" s="5">
        <v>45015</v>
      </c>
      <c r="K223" s="5">
        <v>45356</v>
      </c>
      <c r="L223" s="4">
        <v>341</v>
      </c>
      <c r="M223" s="1">
        <v>254913.19</v>
      </c>
      <c r="N223" s="1">
        <v>394735.53</v>
      </c>
      <c r="O223" s="1">
        <v>139822.34</v>
      </c>
      <c r="P223" s="3">
        <v>54.85</v>
      </c>
      <c r="Q223" s="2" t="s">
        <v>26</v>
      </c>
      <c r="R223" s="1">
        <v>20973.35</v>
      </c>
      <c r="S223" s="1">
        <v>0</v>
      </c>
    </row>
    <row r="224" spans="1:19" ht="18" customHeight="1" x14ac:dyDescent="0.3">
      <c r="A224" s="9" t="s">
        <v>226</v>
      </c>
      <c r="B224" s="7" t="s">
        <v>54</v>
      </c>
      <c r="C224" s="7" t="s">
        <v>19</v>
      </c>
      <c r="D224" s="7" t="s">
        <v>53</v>
      </c>
      <c r="E224" s="7" t="s">
        <v>52</v>
      </c>
      <c r="F224" s="7" t="s">
        <v>1</v>
      </c>
      <c r="G224" s="9">
        <v>115</v>
      </c>
      <c r="H224" s="6">
        <v>2708.72</v>
      </c>
      <c r="I224" s="6">
        <v>2972.95</v>
      </c>
      <c r="J224" s="10">
        <v>44973</v>
      </c>
      <c r="K224" s="10">
        <v>45790</v>
      </c>
      <c r="L224" s="9">
        <v>817</v>
      </c>
      <c r="M224" s="6">
        <v>311502.8</v>
      </c>
      <c r="N224" s="6">
        <v>341889.25</v>
      </c>
      <c r="O224" s="6">
        <v>30386.45</v>
      </c>
      <c r="P224" s="8">
        <v>9.75</v>
      </c>
      <c r="Q224" s="7" t="s">
        <v>0</v>
      </c>
      <c r="R224" s="6">
        <v>0</v>
      </c>
      <c r="S224" s="6">
        <v>0</v>
      </c>
    </row>
    <row r="225" spans="1:19" ht="18" customHeight="1" x14ac:dyDescent="0.3">
      <c r="A225" s="4" t="s">
        <v>225</v>
      </c>
      <c r="B225" s="2" t="s">
        <v>50</v>
      </c>
      <c r="C225" s="2" t="s">
        <v>14</v>
      </c>
      <c r="D225" s="2" t="s">
        <v>49</v>
      </c>
      <c r="E225" s="2" t="s">
        <v>48</v>
      </c>
      <c r="F225" s="2" t="s">
        <v>1</v>
      </c>
      <c r="G225" s="4">
        <v>167</v>
      </c>
      <c r="H225" s="1">
        <v>2754.38</v>
      </c>
      <c r="I225" s="1">
        <v>2040.12</v>
      </c>
      <c r="J225" s="5">
        <v>45025</v>
      </c>
      <c r="K225" s="5">
        <v>45225</v>
      </c>
      <c r="L225" s="4">
        <v>200</v>
      </c>
      <c r="M225" s="1">
        <v>459981.46</v>
      </c>
      <c r="N225" s="1">
        <v>340700.04</v>
      </c>
      <c r="O225" s="1">
        <v>-119281.42</v>
      </c>
      <c r="P225" s="3">
        <v>-25.93</v>
      </c>
      <c r="Q225" s="2" t="s">
        <v>26</v>
      </c>
      <c r="R225" s="1">
        <v>0</v>
      </c>
      <c r="S225" s="1">
        <v>0</v>
      </c>
    </row>
    <row r="226" spans="1:19" ht="18" customHeight="1" x14ac:dyDescent="0.3">
      <c r="A226" s="9" t="s">
        <v>224</v>
      </c>
      <c r="B226" s="7" t="s">
        <v>46</v>
      </c>
      <c r="C226" s="7" t="s">
        <v>9</v>
      </c>
      <c r="D226" s="7" t="s">
        <v>45</v>
      </c>
      <c r="E226" s="7" t="s">
        <v>44</v>
      </c>
      <c r="F226" s="7" t="s">
        <v>1</v>
      </c>
      <c r="G226" s="9">
        <v>203</v>
      </c>
      <c r="H226" s="6">
        <v>3139.17</v>
      </c>
      <c r="I226" s="6">
        <v>4794.04</v>
      </c>
      <c r="J226" s="10">
        <v>44841</v>
      </c>
      <c r="K226" s="10">
        <v>45678</v>
      </c>
      <c r="L226" s="9">
        <v>837</v>
      </c>
      <c r="M226" s="6">
        <v>637251.51</v>
      </c>
      <c r="N226" s="6">
        <v>973190.12</v>
      </c>
      <c r="O226" s="6">
        <v>335938.61</v>
      </c>
      <c r="P226" s="8">
        <v>52.72</v>
      </c>
      <c r="Q226" s="7" t="s">
        <v>0</v>
      </c>
      <c r="R226" s="6">
        <v>0</v>
      </c>
      <c r="S226" s="6">
        <v>23593.86</v>
      </c>
    </row>
    <row r="227" spans="1:19" ht="18" customHeight="1" x14ac:dyDescent="0.3">
      <c r="A227" s="4" t="s">
        <v>223</v>
      </c>
      <c r="B227" s="2" t="s">
        <v>42</v>
      </c>
      <c r="C227" s="2" t="s">
        <v>4</v>
      </c>
      <c r="D227" s="2" t="s">
        <v>41</v>
      </c>
      <c r="E227" s="2" t="s">
        <v>12</v>
      </c>
      <c r="F227" s="2" t="s">
        <v>1</v>
      </c>
      <c r="G227" s="4">
        <v>298</v>
      </c>
      <c r="H227" s="1">
        <v>2264.64</v>
      </c>
      <c r="I227" s="1">
        <v>2641.1</v>
      </c>
      <c r="J227" s="5">
        <v>44248</v>
      </c>
      <c r="K227" s="5">
        <v>45135</v>
      </c>
      <c r="L227" s="4">
        <v>887</v>
      </c>
      <c r="M227" s="1">
        <v>674862.72</v>
      </c>
      <c r="N227" s="1">
        <v>787047.8</v>
      </c>
      <c r="O227" s="1">
        <v>112185.08</v>
      </c>
      <c r="P227" s="3">
        <v>16.62</v>
      </c>
      <c r="Q227" s="2" t="s">
        <v>0</v>
      </c>
      <c r="R227" s="1">
        <v>0</v>
      </c>
      <c r="S227" s="1">
        <v>1218.51</v>
      </c>
    </row>
    <row r="228" spans="1:19" ht="18" customHeight="1" x14ac:dyDescent="0.3">
      <c r="A228" s="9" t="s">
        <v>222</v>
      </c>
      <c r="B228" s="7" t="s">
        <v>39</v>
      </c>
      <c r="C228" s="7" t="s">
        <v>29</v>
      </c>
      <c r="D228" s="7" t="s">
        <v>38</v>
      </c>
      <c r="E228" s="7" t="s">
        <v>7</v>
      </c>
      <c r="F228" s="7" t="s">
        <v>1</v>
      </c>
      <c r="G228" s="9">
        <v>469</v>
      </c>
      <c r="H228" s="6">
        <v>2803.56</v>
      </c>
      <c r="I228" s="6">
        <v>3832.15</v>
      </c>
      <c r="J228" s="10">
        <v>45046</v>
      </c>
      <c r="K228" s="10">
        <v>45053</v>
      </c>
      <c r="L228" s="9">
        <v>7</v>
      </c>
      <c r="M228" s="6">
        <v>1314869.6399999999</v>
      </c>
      <c r="N228" s="6">
        <v>1797278.35</v>
      </c>
      <c r="O228" s="6">
        <v>482408.71</v>
      </c>
      <c r="P228" s="8">
        <v>36.69</v>
      </c>
      <c r="Q228" s="7" t="s">
        <v>26</v>
      </c>
      <c r="R228" s="6">
        <v>72361.31</v>
      </c>
      <c r="S228" s="6">
        <v>0</v>
      </c>
    </row>
    <row r="229" spans="1:19" ht="18" customHeight="1" x14ac:dyDescent="0.3">
      <c r="A229" s="4" t="s">
        <v>221</v>
      </c>
      <c r="B229" s="2" t="s">
        <v>36</v>
      </c>
      <c r="C229" s="2" t="s">
        <v>23</v>
      </c>
      <c r="D229" s="2" t="s">
        <v>35</v>
      </c>
      <c r="E229" s="2" t="s">
        <v>12</v>
      </c>
      <c r="F229" s="2" t="s">
        <v>1</v>
      </c>
      <c r="G229" s="4">
        <v>254</v>
      </c>
      <c r="H229" s="1">
        <v>1126.72</v>
      </c>
      <c r="I229" s="1">
        <v>1196.08</v>
      </c>
      <c r="J229" s="5">
        <v>44794</v>
      </c>
      <c r="K229" s="5">
        <v>45466</v>
      </c>
      <c r="L229" s="4">
        <v>672</v>
      </c>
      <c r="M229" s="1">
        <v>286186.88</v>
      </c>
      <c r="N229" s="1">
        <v>303804.32</v>
      </c>
      <c r="O229" s="1">
        <v>17617.439999999999</v>
      </c>
      <c r="P229" s="3">
        <v>6.16</v>
      </c>
      <c r="Q229" s="2" t="s">
        <v>0</v>
      </c>
      <c r="R229" s="1">
        <v>0</v>
      </c>
      <c r="S229" s="1">
        <v>0</v>
      </c>
    </row>
    <row r="230" spans="1:19" ht="18" customHeight="1" x14ac:dyDescent="0.3">
      <c r="A230" s="9" t="s">
        <v>220</v>
      </c>
      <c r="B230" s="7" t="s">
        <v>33</v>
      </c>
      <c r="C230" s="7" t="s">
        <v>19</v>
      </c>
      <c r="D230" s="7" t="s">
        <v>32</v>
      </c>
      <c r="E230" s="7" t="s">
        <v>7</v>
      </c>
      <c r="F230" s="7" t="s">
        <v>1</v>
      </c>
      <c r="G230" s="9">
        <v>204</v>
      </c>
      <c r="H230" s="6">
        <v>2623.69</v>
      </c>
      <c r="I230" s="6">
        <v>2405.5500000000002</v>
      </c>
      <c r="J230" s="10">
        <v>44258</v>
      </c>
      <c r="K230" s="10">
        <v>44366</v>
      </c>
      <c r="L230" s="9">
        <v>108</v>
      </c>
      <c r="M230" s="6">
        <v>535232.76</v>
      </c>
      <c r="N230" s="6">
        <v>490732.2</v>
      </c>
      <c r="O230" s="6">
        <v>-44500.56</v>
      </c>
      <c r="P230" s="8">
        <v>-8.31</v>
      </c>
      <c r="Q230" s="7" t="s">
        <v>26</v>
      </c>
      <c r="R230" s="6">
        <v>0</v>
      </c>
      <c r="S230" s="6">
        <v>0</v>
      </c>
    </row>
    <row r="231" spans="1:19" ht="18" customHeight="1" x14ac:dyDescent="0.3">
      <c r="A231" s="4" t="s">
        <v>219</v>
      </c>
      <c r="B231" s="2" t="s">
        <v>30</v>
      </c>
      <c r="C231" s="2" t="s">
        <v>14</v>
      </c>
      <c r="D231" s="2" t="s">
        <v>28</v>
      </c>
      <c r="E231" s="2" t="s">
        <v>27</v>
      </c>
      <c r="F231" s="2" t="s">
        <v>1</v>
      </c>
      <c r="G231" s="4">
        <v>120</v>
      </c>
      <c r="H231" s="1">
        <v>1522.86</v>
      </c>
      <c r="I231" s="1">
        <v>1537.81</v>
      </c>
      <c r="J231" s="5">
        <v>44868</v>
      </c>
      <c r="K231" s="5">
        <v>45276</v>
      </c>
      <c r="L231" s="4">
        <v>408</v>
      </c>
      <c r="M231" s="1">
        <v>182743.2</v>
      </c>
      <c r="N231" s="1">
        <v>184537.2</v>
      </c>
      <c r="O231" s="1">
        <v>1794</v>
      </c>
      <c r="P231" s="3">
        <v>0.98</v>
      </c>
      <c r="Q231" s="2" t="s">
        <v>0</v>
      </c>
      <c r="R231" s="1">
        <v>0</v>
      </c>
      <c r="S231" s="1">
        <v>0</v>
      </c>
    </row>
    <row r="232" spans="1:19" ht="18" customHeight="1" x14ac:dyDescent="0.3">
      <c r="A232" s="9" t="s">
        <v>218</v>
      </c>
      <c r="B232" s="7" t="s">
        <v>24</v>
      </c>
      <c r="C232" s="7" t="s">
        <v>9</v>
      </c>
      <c r="D232" s="7" t="s">
        <v>22</v>
      </c>
      <c r="E232" s="7" t="s">
        <v>7</v>
      </c>
      <c r="F232" s="7" t="s">
        <v>1</v>
      </c>
      <c r="G232" s="9">
        <v>12</v>
      </c>
      <c r="H232" s="6">
        <v>1132.8800000000001</v>
      </c>
      <c r="I232" s="6">
        <v>851.71</v>
      </c>
      <c r="J232" s="10">
        <v>44337</v>
      </c>
      <c r="K232" s="10">
        <v>45108</v>
      </c>
      <c r="L232" s="9">
        <v>771</v>
      </c>
      <c r="M232" s="6">
        <v>13594.56</v>
      </c>
      <c r="N232" s="6">
        <v>10220.52</v>
      </c>
      <c r="O232" s="6">
        <v>-3374.04</v>
      </c>
      <c r="P232" s="8">
        <v>-24.82</v>
      </c>
      <c r="Q232" s="7" t="s">
        <v>0</v>
      </c>
      <c r="R232" s="6">
        <v>0</v>
      </c>
      <c r="S232" s="6">
        <v>0</v>
      </c>
    </row>
    <row r="233" spans="1:19" ht="18" customHeight="1" x14ac:dyDescent="0.3">
      <c r="A233" s="4" t="s">
        <v>217</v>
      </c>
      <c r="B233" s="2" t="s">
        <v>20</v>
      </c>
      <c r="C233" s="2" t="s">
        <v>4</v>
      </c>
      <c r="D233" s="2" t="s">
        <v>18</v>
      </c>
      <c r="E233" s="2" t="s">
        <v>17</v>
      </c>
      <c r="F233" s="2" t="s">
        <v>1</v>
      </c>
      <c r="G233" s="4">
        <v>487</v>
      </c>
      <c r="H233" s="1">
        <v>2981.41</v>
      </c>
      <c r="I233" s="1">
        <v>3878.71</v>
      </c>
      <c r="J233" s="5">
        <v>44407</v>
      </c>
      <c r="K233" s="5">
        <v>44684</v>
      </c>
      <c r="L233" s="4">
        <v>277</v>
      </c>
      <c r="M233" s="1">
        <v>1451946.67</v>
      </c>
      <c r="N233" s="1">
        <v>1888931.77</v>
      </c>
      <c r="O233" s="1">
        <v>436985.1</v>
      </c>
      <c r="P233" s="3">
        <v>30.1</v>
      </c>
      <c r="Q233" s="2" t="s">
        <v>26</v>
      </c>
      <c r="R233" s="1">
        <v>65547.759999999995</v>
      </c>
      <c r="S233" s="1">
        <v>0</v>
      </c>
    </row>
    <row r="234" spans="1:19" ht="18" customHeight="1" x14ac:dyDescent="0.3">
      <c r="A234" s="9" t="s">
        <v>216</v>
      </c>
      <c r="B234" s="7" t="s">
        <v>15</v>
      </c>
      <c r="C234" s="7" t="s">
        <v>29</v>
      </c>
      <c r="D234" s="7" t="s">
        <v>13</v>
      </c>
      <c r="E234" s="7" t="s">
        <v>12</v>
      </c>
      <c r="F234" s="7" t="s">
        <v>1</v>
      </c>
      <c r="G234" s="9">
        <v>371</v>
      </c>
      <c r="H234" s="6">
        <v>2933.24</v>
      </c>
      <c r="I234" s="6">
        <v>4481.43</v>
      </c>
      <c r="J234" s="10">
        <v>44830</v>
      </c>
      <c r="K234" s="10">
        <v>45070</v>
      </c>
      <c r="L234" s="9">
        <v>240</v>
      </c>
      <c r="M234" s="6">
        <v>1088232.04</v>
      </c>
      <c r="N234" s="6">
        <v>1662610.53</v>
      </c>
      <c r="O234" s="6">
        <v>574378.49</v>
      </c>
      <c r="P234" s="8">
        <v>52.78</v>
      </c>
      <c r="Q234" s="7" t="s">
        <v>26</v>
      </c>
      <c r="R234" s="6">
        <v>86156.77</v>
      </c>
      <c r="S234" s="6">
        <v>0</v>
      </c>
    </row>
    <row r="235" spans="1:19" ht="18" customHeight="1" x14ac:dyDescent="0.3">
      <c r="A235" s="4" t="s">
        <v>215</v>
      </c>
      <c r="B235" s="2" t="s">
        <v>10</v>
      </c>
      <c r="C235" s="2" t="s">
        <v>23</v>
      </c>
      <c r="D235" s="2" t="s">
        <v>8</v>
      </c>
      <c r="E235" s="2" t="s">
        <v>7</v>
      </c>
      <c r="F235" s="2" t="s">
        <v>1</v>
      </c>
      <c r="G235" s="4">
        <v>197</v>
      </c>
      <c r="H235" s="1">
        <v>2584.2800000000002</v>
      </c>
      <c r="I235" s="1">
        <v>3841.43</v>
      </c>
      <c r="J235" s="5">
        <v>44713</v>
      </c>
      <c r="K235" s="5">
        <v>44748</v>
      </c>
      <c r="L235" s="4">
        <v>35</v>
      </c>
      <c r="M235" s="1">
        <v>509103.16</v>
      </c>
      <c r="N235" s="1">
        <v>756761.71</v>
      </c>
      <c r="O235" s="1">
        <v>247658.55</v>
      </c>
      <c r="P235" s="3">
        <v>48.65</v>
      </c>
      <c r="Q235" s="2" t="s">
        <v>26</v>
      </c>
      <c r="R235" s="1">
        <v>37148.78</v>
      </c>
      <c r="S235" s="1">
        <v>0</v>
      </c>
    </row>
    <row r="236" spans="1:19" ht="18" customHeight="1" x14ac:dyDescent="0.3">
      <c r="A236" s="9" t="s">
        <v>214</v>
      </c>
      <c r="B236" s="7" t="s">
        <v>5</v>
      </c>
      <c r="C236" s="7" t="s">
        <v>19</v>
      </c>
      <c r="D236" s="7" t="s">
        <v>3</v>
      </c>
      <c r="E236" s="7" t="s">
        <v>2</v>
      </c>
      <c r="F236" s="7" t="s">
        <v>1</v>
      </c>
      <c r="G236" s="9">
        <v>461</v>
      </c>
      <c r="H236" s="6">
        <v>70.959999999999994</v>
      </c>
      <c r="I236" s="6">
        <v>93.82</v>
      </c>
      <c r="J236" s="10">
        <v>44947</v>
      </c>
      <c r="K236" s="10">
        <v>45202</v>
      </c>
      <c r="L236" s="9">
        <v>255</v>
      </c>
      <c r="M236" s="6">
        <v>32712.560000000001</v>
      </c>
      <c r="N236" s="6">
        <v>43251.02</v>
      </c>
      <c r="O236" s="6">
        <v>10538.46</v>
      </c>
      <c r="P236" s="8">
        <v>32.22</v>
      </c>
      <c r="Q236" s="7" t="s">
        <v>26</v>
      </c>
      <c r="R236" s="6">
        <v>1580.77</v>
      </c>
      <c r="S236" s="6">
        <v>0</v>
      </c>
    </row>
    <row r="237" spans="1:19" ht="18" customHeight="1" x14ac:dyDescent="0.3">
      <c r="A237" s="4" t="s">
        <v>213</v>
      </c>
      <c r="B237" s="2" t="s">
        <v>62</v>
      </c>
      <c r="C237" s="2" t="s">
        <v>14</v>
      </c>
      <c r="D237" s="2" t="s">
        <v>61</v>
      </c>
      <c r="E237" s="2" t="s">
        <v>60</v>
      </c>
      <c r="F237" s="2" t="s">
        <v>1</v>
      </c>
      <c r="G237" s="4">
        <v>156</v>
      </c>
      <c r="H237" s="1">
        <v>2201.3000000000002</v>
      </c>
      <c r="I237" s="1">
        <v>2511.37</v>
      </c>
      <c r="J237" s="5">
        <v>44855</v>
      </c>
      <c r="K237" s="5">
        <v>45366</v>
      </c>
      <c r="L237" s="4">
        <v>511</v>
      </c>
      <c r="M237" s="1">
        <v>343402.8</v>
      </c>
      <c r="N237" s="1">
        <v>391773.72</v>
      </c>
      <c r="O237" s="1">
        <v>48370.92</v>
      </c>
      <c r="P237" s="3">
        <v>14.09</v>
      </c>
      <c r="Q237" s="2" t="s">
        <v>0</v>
      </c>
      <c r="R237" s="1">
        <v>0</v>
      </c>
      <c r="S237" s="1">
        <v>0</v>
      </c>
    </row>
    <row r="238" spans="1:19" ht="18" customHeight="1" x14ac:dyDescent="0.3">
      <c r="A238" s="9" t="s">
        <v>212</v>
      </c>
      <c r="B238" s="7" t="s">
        <v>58</v>
      </c>
      <c r="C238" s="7" t="s">
        <v>9</v>
      </c>
      <c r="D238" s="7" t="s">
        <v>57</v>
      </c>
      <c r="E238" s="7" t="s">
        <v>56</v>
      </c>
      <c r="F238" s="7" t="s">
        <v>1</v>
      </c>
      <c r="G238" s="9">
        <v>286</v>
      </c>
      <c r="H238" s="6">
        <v>1769.6</v>
      </c>
      <c r="I238" s="6">
        <v>2030.56</v>
      </c>
      <c r="J238" s="10">
        <v>45053</v>
      </c>
      <c r="K238" s="10">
        <v>45759</v>
      </c>
      <c r="L238" s="9">
        <v>706</v>
      </c>
      <c r="M238" s="6">
        <v>506105.59999999998</v>
      </c>
      <c r="N238" s="6">
        <v>580740.16</v>
      </c>
      <c r="O238" s="6">
        <v>74634.559999999998</v>
      </c>
      <c r="P238" s="8">
        <v>14.75</v>
      </c>
      <c r="Q238" s="7" t="s">
        <v>0</v>
      </c>
      <c r="R238" s="6">
        <v>0</v>
      </c>
      <c r="S238" s="6">
        <v>0</v>
      </c>
    </row>
    <row r="239" spans="1:19" ht="18" customHeight="1" x14ac:dyDescent="0.3">
      <c r="A239" s="4" t="s">
        <v>211</v>
      </c>
      <c r="B239" s="2" t="s">
        <v>54</v>
      </c>
      <c r="C239" s="2" t="s">
        <v>4</v>
      </c>
      <c r="D239" s="2" t="s">
        <v>53</v>
      </c>
      <c r="E239" s="2" t="s">
        <v>52</v>
      </c>
      <c r="F239" s="2" t="s">
        <v>1</v>
      </c>
      <c r="G239" s="4">
        <v>430</v>
      </c>
      <c r="H239" s="1">
        <v>3119.47</v>
      </c>
      <c r="I239" s="1">
        <v>2695.38</v>
      </c>
      <c r="J239" s="5">
        <v>44835</v>
      </c>
      <c r="K239" s="5">
        <v>45342</v>
      </c>
      <c r="L239" s="4">
        <v>507</v>
      </c>
      <c r="M239" s="1">
        <v>1341372.1000000001</v>
      </c>
      <c r="N239" s="1">
        <v>1159013.3999999999</v>
      </c>
      <c r="O239" s="1">
        <v>-182358.7</v>
      </c>
      <c r="P239" s="3">
        <v>-13.59</v>
      </c>
      <c r="Q239" s="2" t="s">
        <v>0</v>
      </c>
      <c r="R239" s="1">
        <v>0</v>
      </c>
      <c r="S239" s="1">
        <v>0</v>
      </c>
    </row>
    <row r="240" spans="1:19" ht="18" customHeight="1" x14ac:dyDescent="0.3">
      <c r="A240" s="9" t="s">
        <v>210</v>
      </c>
      <c r="B240" s="7" t="s">
        <v>50</v>
      </c>
      <c r="C240" s="7" t="s">
        <v>29</v>
      </c>
      <c r="D240" s="7" t="s">
        <v>49</v>
      </c>
      <c r="E240" s="7" t="s">
        <v>48</v>
      </c>
      <c r="F240" s="7" t="s">
        <v>1</v>
      </c>
      <c r="G240" s="9">
        <v>378</v>
      </c>
      <c r="H240" s="6">
        <v>311.87</v>
      </c>
      <c r="I240" s="6">
        <v>359.76</v>
      </c>
      <c r="J240" s="10">
        <v>44695</v>
      </c>
      <c r="K240" s="10">
        <v>44946</v>
      </c>
      <c r="L240" s="9">
        <v>251</v>
      </c>
      <c r="M240" s="6">
        <v>117886.86</v>
      </c>
      <c r="N240" s="6">
        <v>135989.28</v>
      </c>
      <c r="O240" s="6">
        <v>18102.419999999998</v>
      </c>
      <c r="P240" s="8">
        <v>15.36</v>
      </c>
      <c r="Q240" s="7" t="s">
        <v>26</v>
      </c>
      <c r="R240" s="6">
        <v>2715.36</v>
      </c>
      <c r="S240" s="6">
        <v>0</v>
      </c>
    </row>
    <row r="241" spans="1:19" ht="18" customHeight="1" x14ac:dyDescent="0.3">
      <c r="A241" s="4" t="s">
        <v>209</v>
      </c>
      <c r="B241" s="2" t="s">
        <v>46</v>
      </c>
      <c r="C241" s="2" t="s">
        <v>23</v>
      </c>
      <c r="D241" s="2" t="s">
        <v>45</v>
      </c>
      <c r="E241" s="2" t="s">
        <v>44</v>
      </c>
      <c r="F241" s="2" t="s">
        <v>1</v>
      </c>
      <c r="G241" s="4">
        <v>152</v>
      </c>
      <c r="H241" s="1">
        <v>2287.67</v>
      </c>
      <c r="I241" s="1">
        <v>2392.88</v>
      </c>
      <c r="J241" s="5">
        <v>44661</v>
      </c>
      <c r="K241" s="5">
        <v>45275</v>
      </c>
      <c r="L241" s="4">
        <v>614</v>
      </c>
      <c r="M241" s="1">
        <v>347725.84</v>
      </c>
      <c r="N241" s="1">
        <v>363717.76</v>
      </c>
      <c r="O241" s="1">
        <v>15991.92</v>
      </c>
      <c r="P241" s="3">
        <v>4.5999999999999996</v>
      </c>
      <c r="Q241" s="2" t="s">
        <v>0</v>
      </c>
      <c r="R241" s="1">
        <v>0</v>
      </c>
      <c r="S241" s="1">
        <v>0</v>
      </c>
    </row>
    <row r="242" spans="1:19" ht="18" customHeight="1" x14ac:dyDescent="0.3">
      <c r="A242" s="9" t="s">
        <v>208</v>
      </c>
      <c r="B242" s="7" t="s">
        <v>42</v>
      </c>
      <c r="C242" s="7" t="s">
        <v>19</v>
      </c>
      <c r="D242" s="7" t="s">
        <v>41</v>
      </c>
      <c r="E242" s="7" t="s">
        <v>12</v>
      </c>
      <c r="F242" s="7" t="s">
        <v>1</v>
      </c>
      <c r="G242" s="9">
        <v>325</v>
      </c>
      <c r="H242" s="6">
        <v>2596.44</v>
      </c>
      <c r="I242" s="6">
        <v>3367.57</v>
      </c>
      <c r="J242" s="10">
        <v>44401</v>
      </c>
      <c r="K242" s="10">
        <v>45257</v>
      </c>
      <c r="L242" s="9">
        <v>856</v>
      </c>
      <c r="M242" s="6">
        <v>843843</v>
      </c>
      <c r="N242" s="6">
        <v>1094460.25</v>
      </c>
      <c r="O242" s="6">
        <v>250617.25</v>
      </c>
      <c r="P242" s="8">
        <v>29.7</v>
      </c>
      <c r="Q242" s="7" t="s">
        <v>0</v>
      </c>
      <c r="R242" s="6">
        <v>0</v>
      </c>
      <c r="S242" s="6">
        <v>15061.73</v>
      </c>
    </row>
    <row r="243" spans="1:19" ht="18" customHeight="1" x14ac:dyDescent="0.3">
      <c r="A243" s="4" t="s">
        <v>207</v>
      </c>
      <c r="B243" s="2" t="s">
        <v>39</v>
      </c>
      <c r="C243" s="2" t="s">
        <v>14</v>
      </c>
      <c r="D243" s="2" t="s">
        <v>38</v>
      </c>
      <c r="E243" s="2" t="s">
        <v>7</v>
      </c>
      <c r="F243" s="2" t="s">
        <v>1</v>
      </c>
      <c r="G243" s="4">
        <v>244</v>
      </c>
      <c r="H243" s="1">
        <v>3289.87</v>
      </c>
      <c r="I243" s="1">
        <v>3874.91</v>
      </c>
      <c r="J243" s="5">
        <v>45066</v>
      </c>
      <c r="K243" s="5">
        <v>45284</v>
      </c>
      <c r="L243" s="4">
        <v>218</v>
      </c>
      <c r="M243" s="1">
        <v>802728.28</v>
      </c>
      <c r="N243" s="1">
        <v>945478.04</v>
      </c>
      <c r="O243" s="1">
        <v>142749.76000000001</v>
      </c>
      <c r="P243" s="3">
        <v>17.78</v>
      </c>
      <c r="Q243" s="2" t="s">
        <v>26</v>
      </c>
      <c r="R243" s="1">
        <v>21412.46</v>
      </c>
      <c r="S243" s="1">
        <v>0</v>
      </c>
    </row>
    <row r="244" spans="1:19" ht="18" customHeight="1" x14ac:dyDescent="0.3">
      <c r="A244" s="9" t="s">
        <v>206</v>
      </c>
      <c r="B244" s="7" t="s">
        <v>36</v>
      </c>
      <c r="C244" s="7" t="s">
        <v>9</v>
      </c>
      <c r="D244" s="7" t="s">
        <v>35</v>
      </c>
      <c r="E244" s="7" t="s">
        <v>12</v>
      </c>
      <c r="F244" s="7" t="s">
        <v>1</v>
      </c>
      <c r="G244" s="9">
        <v>59</v>
      </c>
      <c r="H244" s="6">
        <v>600.17999999999995</v>
      </c>
      <c r="I244" s="6">
        <v>665.94</v>
      </c>
      <c r="J244" s="10">
        <v>44468</v>
      </c>
      <c r="K244" s="10">
        <v>44768</v>
      </c>
      <c r="L244" s="9">
        <v>300</v>
      </c>
      <c r="M244" s="6">
        <v>35410.620000000003</v>
      </c>
      <c r="N244" s="6">
        <v>39290.46</v>
      </c>
      <c r="O244" s="6">
        <v>3879.84</v>
      </c>
      <c r="P244" s="8">
        <v>10.96</v>
      </c>
      <c r="Q244" s="7" t="s">
        <v>26</v>
      </c>
      <c r="R244" s="6">
        <v>581.98</v>
      </c>
      <c r="S244" s="6">
        <v>0</v>
      </c>
    </row>
    <row r="245" spans="1:19" ht="18" customHeight="1" x14ac:dyDescent="0.3">
      <c r="A245" s="4" t="s">
        <v>205</v>
      </c>
      <c r="B245" s="2" t="s">
        <v>33</v>
      </c>
      <c r="C245" s="2" t="s">
        <v>4</v>
      </c>
      <c r="D245" s="2" t="s">
        <v>32</v>
      </c>
      <c r="E245" s="2" t="s">
        <v>7</v>
      </c>
      <c r="F245" s="2" t="s">
        <v>1</v>
      </c>
      <c r="G245" s="4">
        <v>262</v>
      </c>
      <c r="H245" s="1">
        <v>2827.4</v>
      </c>
      <c r="I245" s="1">
        <v>4009.71</v>
      </c>
      <c r="J245" s="5">
        <v>44706</v>
      </c>
      <c r="K245" s="5">
        <v>45077</v>
      </c>
      <c r="L245" s="4">
        <v>371</v>
      </c>
      <c r="M245" s="1">
        <v>740778.8</v>
      </c>
      <c r="N245" s="1">
        <v>1050544.02</v>
      </c>
      <c r="O245" s="1">
        <v>309765.21999999997</v>
      </c>
      <c r="P245" s="3">
        <v>41.82</v>
      </c>
      <c r="Q245" s="2" t="s">
        <v>0</v>
      </c>
      <c r="R245" s="1">
        <v>0</v>
      </c>
      <c r="S245" s="1">
        <v>20976.52</v>
      </c>
    </row>
    <row r="246" spans="1:19" ht="18" customHeight="1" x14ac:dyDescent="0.3">
      <c r="A246" s="9" t="s">
        <v>204</v>
      </c>
      <c r="B246" s="7" t="s">
        <v>30</v>
      </c>
      <c r="C246" s="7" t="s">
        <v>29</v>
      </c>
      <c r="D246" s="7" t="s">
        <v>28</v>
      </c>
      <c r="E246" s="7" t="s">
        <v>27</v>
      </c>
      <c r="F246" s="7" t="s">
        <v>1</v>
      </c>
      <c r="G246" s="9">
        <v>149</v>
      </c>
      <c r="H246" s="6">
        <v>77.900000000000006</v>
      </c>
      <c r="I246" s="6">
        <v>115.37</v>
      </c>
      <c r="J246" s="10">
        <v>44411</v>
      </c>
      <c r="K246" s="10">
        <v>44754</v>
      </c>
      <c r="L246" s="9">
        <v>343</v>
      </c>
      <c r="M246" s="6">
        <v>11607.1</v>
      </c>
      <c r="N246" s="6">
        <v>17190.13</v>
      </c>
      <c r="O246" s="6">
        <v>5583.03</v>
      </c>
      <c r="P246" s="8">
        <v>48.1</v>
      </c>
      <c r="Q246" s="7" t="s">
        <v>26</v>
      </c>
      <c r="R246" s="6">
        <v>837.45</v>
      </c>
      <c r="S246" s="6">
        <v>0</v>
      </c>
    </row>
    <row r="247" spans="1:19" ht="18" customHeight="1" x14ac:dyDescent="0.3">
      <c r="A247" s="4" t="s">
        <v>203</v>
      </c>
      <c r="B247" s="2" t="s">
        <v>24</v>
      </c>
      <c r="C247" s="2" t="s">
        <v>23</v>
      </c>
      <c r="D247" s="2" t="s">
        <v>22</v>
      </c>
      <c r="E247" s="2" t="s">
        <v>7</v>
      </c>
      <c r="F247" s="2" t="s">
        <v>1</v>
      </c>
      <c r="G247" s="4">
        <v>302</v>
      </c>
      <c r="H247" s="1">
        <v>1034.5899999999999</v>
      </c>
      <c r="I247" s="1">
        <v>834.77</v>
      </c>
      <c r="J247" s="5">
        <v>44828</v>
      </c>
      <c r="K247" s="5">
        <v>44943</v>
      </c>
      <c r="L247" s="4">
        <v>115</v>
      </c>
      <c r="M247" s="1">
        <v>312446.18</v>
      </c>
      <c r="N247" s="1">
        <v>252100.54</v>
      </c>
      <c r="O247" s="1">
        <v>-60345.64</v>
      </c>
      <c r="P247" s="3">
        <v>-19.309999999999999</v>
      </c>
      <c r="Q247" s="2" t="s">
        <v>26</v>
      </c>
      <c r="R247" s="1">
        <v>0</v>
      </c>
      <c r="S247" s="1">
        <v>0</v>
      </c>
    </row>
    <row r="248" spans="1:19" ht="18" customHeight="1" x14ac:dyDescent="0.3">
      <c r="A248" s="9" t="s">
        <v>202</v>
      </c>
      <c r="B248" s="7" t="s">
        <v>20</v>
      </c>
      <c r="C248" s="7" t="s">
        <v>19</v>
      </c>
      <c r="D248" s="7" t="s">
        <v>18</v>
      </c>
      <c r="E248" s="7" t="s">
        <v>17</v>
      </c>
      <c r="F248" s="7" t="s">
        <v>1</v>
      </c>
      <c r="G248" s="9">
        <v>237</v>
      </c>
      <c r="H248" s="6">
        <v>2804.07</v>
      </c>
      <c r="I248" s="6">
        <v>2550.65</v>
      </c>
      <c r="J248" s="10">
        <v>45022</v>
      </c>
      <c r="K248" s="10">
        <v>45890</v>
      </c>
      <c r="L248" s="9">
        <v>868</v>
      </c>
      <c r="M248" s="6">
        <v>664564.59</v>
      </c>
      <c r="N248" s="6">
        <v>604504.05000000005</v>
      </c>
      <c r="O248" s="6">
        <v>-60060.54</v>
      </c>
      <c r="P248" s="8">
        <v>-9.0399999999999991</v>
      </c>
      <c r="Q248" s="7" t="s">
        <v>0</v>
      </c>
      <c r="R248" s="6">
        <v>0</v>
      </c>
      <c r="S248" s="6">
        <v>0</v>
      </c>
    </row>
    <row r="249" spans="1:19" ht="18" customHeight="1" x14ac:dyDescent="0.3">
      <c r="A249" s="4" t="s">
        <v>201</v>
      </c>
      <c r="B249" s="2" t="s">
        <v>15</v>
      </c>
      <c r="C249" s="2" t="s">
        <v>14</v>
      </c>
      <c r="D249" s="2" t="s">
        <v>13</v>
      </c>
      <c r="E249" s="2" t="s">
        <v>12</v>
      </c>
      <c r="F249" s="2" t="s">
        <v>1</v>
      </c>
      <c r="G249" s="4">
        <v>43</v>
      </c>
      <c r="H249" s="1">
        <v>1134.03</v>
      </c>
      <c r="I249" s="1">
        <v>1195.5999999999999</v>
      </c>
      <c r="J249" s="5">
        <v>44687</v>
      </c>
      <c r="K249" s="5">
        <v>45566</v>
      </c>
      <c r="L249" s="4">
        <v>879</v>
      </c>
      <c r="M249" s="1">
        <v>48763.29</v>
      </c>
      <c r="N249" s="1">
        <v>51410.8</v>
      </c>
      <c r="O249" s="1">
        <v>2647.51</v>
      </c>
      <c r="P249" s="3">
        <v>5.43</v>
      </c>
      <c r="Q249" s="2" t="s">
        <v>0</v>
      </c>
      <c r="R249" s="1">
        <v>0</v>
      </c>
      <c r="S249" s="1">
        <v>0</v>
      </c>
    </row>
    <row r="250" spans="1:19" ht="18" customHeight="1" x14ac:dyDescent="0.3">
      <c r="A250" s="9" t="s">
        <v>200</v>
      </c>
      <c r="B250" s="7" t="s">
        <v>10</v>
      </c>
      <c r="C250" s="7" t="s">
        <v>9</v>
      </c>
      <c r="D250" s="7" t="s">
        <v>8</v>
      </c>
      <c r="E250" s="7" t="s">
        <v>7</v>
      </c>
      <c r="F250" s="7" t="s">
        <v>1</v>
      </c>
      <c r="G250" s="9">
        <v>152</v>
      </c>
      <c r="H250" s="6">
        <v>187.48</v>
      </c>
      <c r="I250" s="6">
        <v>235.26</v>
      </c>
      <c r="J250" s="10">
        <v>44573</v>
      </c>
      <c r="K250" s="10">
        <v>44591</v>
      </c>
      <c r="L250" s="9">
        <v>18</v>
      </c>
      <c r="M250" s="6">
        <v>28496.959999999999</v>
      </c>
      <c r="N250" s="6">
        <v>35759.519999999997</v>
      </c>
      <c r="O250" s="6">
        <v>7262.56</v>
      </c>
      <c r="P250" s="8">
        <v>25.49</v>
      </c>
      <c r="Q250" s="7" t="s">
        <v>26</v>
      </c>
      <c r="R250" s="6">
        <v>1089.3800000000001</v>
      </c>
      <c r="S250" s="6">
        <v>0</v>
      </c>
    </row>
    <row r="251" spans="1:19" ht="18" customHeight="1" x14ac:dyDescent="0.3">
      <c r="A251" s="4" t="s">
        <v>199</v>
      </c>
      <c r="B251" s="2" t="s">
        <v>5</v>
      </c>
      <c r="C251" s="2" t="s">
        <v>4</v>
      </c>
      <c r="D251" s="2" t="s">
        <v>3</v>
      </c>
      <c r="E251" s="2" t="s">
        <v>2</v>
      </c>
      <c r="F251" s="2" t="s">
        <v>1</v>
      </c>
      <c r="G251" s="4">
        <v>157</v>
      </c>
      <c r="H251" s="1">
        <v>704.72</v>
      </c>
      <c r="I251" s="1">
        <v>1092.1199999999999</v>
      </c>
      <c r="J251" s="5">
        <v>44509</v>
      </c>
      <c r="K251" s="5">
        <v>45040</v>
      </c>
      <c r="L251" s="4">
        <v>531</v>
      </c>
      <c r="M251" s="1">
        <v>110641.04</v>
      </c>
      <c r="N251" s="1">
        <v>171462.84</v>
      </c>
      <c r="O251" s="1">
        <v>60821.8</v>
      </c>
      <c r="P251" s="3">
        <v>54.97</v>
      </c>
      <c r="Q251" s="2" t="s">
        <v>0</v>
      </c>
      <c r="R251" s="1">
        <v>0</v>
      </c>
      <c r="S251" s="1">
        <v>0</v>
      </c>
    </row>
    <row r="252" spans="1:19" ht="18" customHeight="1" x14ac:dyDescent="0.3">
      <c r="A252" s="9" t="s">
        <v>198</v>
      </c>
      <c r="B252" s="7" t="s">
        <v>62</v>
      </c>
      <c r="C252" s="7" t="s">
        <v>29</v>
      </c>
      <c r="D252" s="7" t="s">
        <v>61</v>
      </c>
      <c r="E252" s="7" t="s">
        <v>60</v>
      </c>
      <c r="F252" s="7" t="s">
        <v>1</v>
      </c>
      <c r="G252" s="9">
        <v>190</v>
      </c>
      <c r="H252" s="6">
        <v>1713.77</v>
      </c>
      <c r="I252" s="6">
        <v>1625.95</v>
      </c>
      <c r="J252" s="10">
        <v>45038</v>
      </c>
      <c r="K252" s="10">
        <v>45862</v>
      </c>
      <c r="L252" s="9">
        <v>824</v>
      </c>
      <c r="M252" s="6">
        <v>325616.3</v>
      </c>
      <c r="N252" s="6">
        <v>308930.5</v>
      </c>
      <c r="O252" s="6">
        <v>-16685.8</v>
      </c>
      <c r="P252" s="8">
        <v>-5.12</v>
      </c>
      <c r="Q252" s="7" t="s">
        <v>0</v>
      </c>
      <c r="R252" s="6">
        <v>0</v>
      </c>
      <c r="S252" s="6">
        <v>0</v>
      </c>
    </row>
    <row r="253" spans="1:19" ht="18" customHeight="1" x14ac:dyDescent="0.3">
      <c r="A253" s="4" t="s">
        <v>197</v>
      </c>
      <c r="B253" s="2" t="s">
        <v>58</v>
      </c>
      <c r="C253" s="2" t="s">
        <v>23</v>
      </c>
      <c r="D253" s="2" t="s">
        <v>57</v>
      </c>
      <c r="E253" s="2" t="s">
        <v>56</v>
      </c>
      <c r="F253" s="2" t="s">
        <v>1</v>
      </c>
      <c r="G253" s="4">
        <v>38</v>
      </c>
      <c r="H253" s="1">
        <v>877.59</v>
      </c>
      <c r="I253" s="1">
        <v>833.37</v>
      </c>
      <c r="J253" s="5">
        <v>44619</v>
      </c>
      <c r="K253" s="5">
        <v>45388</v>
      </c>
      <c r="L253" s="4">
        <v>769</v>
      </c>
      <c r="M253" s="1">
        <v>33348.42</v>
      </c>
      <c r="N253" s="1">
        <v>31668.06</v>
      </c>
      <c r="O253" s="1">
        <v>-1680.36</v>
      </c>
      <c r="P253" s="3">
        <v>-5.04</v>
      </c>
      <c r="Q253" s="2" t="s">
        <v>0</v>
      </c>
      <c r="R253" s="1">
        <v>0</v>
      </c>
      <c r="S253" s="1">
        <v>0</v>
      </c>
    </row>
    <row r="254" spans="1:19" ht="18" customHeight="1" x14ac:dyDescent="0.3">
      <c r="A254" s="9" t="s">
        <v>196</v>
      </c>
      <c r="B254" s="7" t="s">
        <v>54</v>
      </c>
      <c r="C254" s="7" t="s">
        <v>19</v>
      </c>
      <c r="D254" s="7" t="s">
        <v>53</v>
      </c>
      <c r="E254" s="7" t="s">
        <v>52</v>
      </c>
      <c r="F254" s="7" t="s">
        <v>1</v>
      </c>
      <c r="G254" s="9">
        <v>151</v>
      </c>
      <c r="H254" s="6">
        <v>976.64</v>
      </c>
      <c r="I254" s="6">
        <v>827.71</v>
      </c>
      <c r="J254" s="10">
        <v>44778</v>
      </c>
      <c r="K254" s="10">
        <v>44844</v>
      </c>
      <c r="L254" s="9">
        <v>66</v>
      </c>
      <c r="M254" s="6">
        <v>147472.64000000001</v>
      </c>
      <c r="N254" s="6">
        <v>124984.21</v>
      </c>
      <c r="O254" s="6">
        <v>-22488.43</v>
      </c>
      <c r="P254" s="8">
        <v>-15.25</v>
      </c>
      <c r="Q254" s="7" t="s">
        <v>26</v>
      </c>
      <c r="R254" s="6">
        <v>0</v>
      </c>
      <c r="S254" s="6">
        <v>0</v>
      </c>
    </row>
    <row r="255" spans="1:19" ht="18" customHeight="1" x14ac:dyDescent="0.3">
      <c r="A255" s="4" t="s">
        <v>195</v>
      </c>
      <c r="B255" s="2" t="s">
        <v>50</v>
      </c>
      <c r="C255" s="2" t="s">
        <v>14</v>
      </c>
      <c r="D255" s="2" t="s">
        <v>49</v>
      </c>
      <c r="E255" s="2" t="s">
        <v>48</v>
      </c>
      <c r="F255" s="2" t="s">
        <v>1</v>
      </c>
      <c r="G255" s="4">
        <v>144</v>
      </c>
      <c r="H255" s="1">
        <v>3268.35</v>
      </c>
      <c r="I255" s="1">
        <v>3243.11</v>
      </c>
      <c r="J255" s="5">
        <v>44197</v>
      </c>
      <c r="K255" s="5">
        <v>44225</v>
      </c>
      <c r="L255" s="4">
        <v>28</v>
      </c>
      <c r="M255" s="1">
        <v>470642.4</v>
      </c>
      <c r="N255" s="1">
        <v>467007.84</v>
      </c>
      <c r="O255" s="1">
        <v>-3634.56</v>
      </c>
      <c r="P255" s="3">
        <v>-0.77</v>
      </c>
      <c r="Q255" s="2" t="s">
        <v>26</v>
      </c>
      <c r="R255" s="1">
        <v>0</v>
      </c>
      <c r="S255" s="1">
        <v>0</v>
      </c>
    </row>
    <row r="256" spans="1:19" ht="18" customHeight="1" x14ac:dyDescent="0.3">
      <c r="A256" s="9" t="s">
        <v>194</v>
      </c>
      <c r="B256" s="7" t="s">
        <v>46</v>
      </c>
      <c r="C256" s="7" t="s">
        <v>9</v>
      </c>
      <c r="D256" s="7" t="s">
        <v>45</v>
      </c>
      <c r="E256" s="7" t="s">
        <v>44</v>
      </c>
      <c r="F256" s="7" t="s">
        <v>1</v>
      </c>
      <c r="G256" s="9">
        <v>343</v>
      </c>
      <c r="H256" s="6">
        <v>2104.9299999999998</v>
      </c>
      <c r="I256" s="6">
        <v>1595.86</v>
      </c>
      <c r="J256" s="10">
        <v>44406</v>
      </c>
      <c r="K256" s="10">
        <v>45188</v>
      </c>
      <c r="L256" s="9">
        <v>782</v>
      </c>
      <c r="M256" s="6">
        <v>721990.99</v>
      </c>
      <c r="N256" s="6">
        <v>547379.98</v>
      </c>
      <c r="O256" s="6">
        <v>-174611.01</v>
      </c>
      <c r="P256" s="8">
        <v>-24.18</v>
      </c>
      <c r="Q256" s="7" t="s">
        <v>0</v>
      </c>
      <c r="R256" s="6">
        <v>0</v>
      </c>
      <c r="S256" s="6">
        <v>0</v>
      </c>
    </row>
    <row r="257" spans="1:19" ht="18" customHeight="1" x14ac:dyDescent="0.3">
      <c r="A257" s="4" t="s">
        <v>193</v>
      </c>
      <c r="B257" s="2" t="s">
        <v>42</v>
      </c>
      <c r="C257" s="2" t="s">
        <v>4</v>
      </c>
      <c r="D257" s="2" t="s">
        <v>41</v>
      </c>
      <c r="E257" s="2" t="s">
        <v>12</v>
      </c>
      <c r="F257" s="2" t="s">
        <v>1</v>
      </c>
      <c r="G257" s="4">
        <v>403</v>
      </c>
      <c r="H257" s="1">
        <v>2515.71</v>
      </c>
      <c r="I257" s="1">
        <v>2941.62</v>
      </c>
      <c r="J257" s="5">
        <v>44614</v>
      </c>
      <c r="K257" s="5">
        <v>44805</v>
      </c>
      <c r="L257" s="4">
        <v>191</v>
      </c>
      <c r="M257" s="1">
        <v>1013831.13</v>
      </c>
      <c r="N257" s="1">
        <v>1185472.8600000001</v>
      </c>
      <c r="O257" s="1">
        <v>171641.73</v>
      </c>
      <c r="P257" s="3">
        <v>16.93</v>
      </c>
      <c r="Q257" s="2" t="s">
        <v>26</v>
      </c>
      <c r="R257" s="1">
        <v>25746.26</v>
      </c>
      <c r="S257" s="1">
        <v>0</v>
      </c>
    </row>
    <row r="258" spans="1:19" ht="18" customHeight="1" x14ac:dyDescent="0.3">
      <c r="A258" s="9" t="s">
        <v>192</v>
      </c>
      <c r="B258" s="7" t="s">
        <v>39</v>
      </c>
      <c r="C258" s="7" t="s">
        <v>29</v>
      </c>
      <c r="D258" s="7" t="s">
        <v>38</v>
      </c>
      <c r="E258" s="7" t="s">
        <v>7</v>
      </c>
      <c r="F258" s="7" t="s">
        <v>1</v>
      </c>
      <c r="G258" s="9">
        <v>343</v>
      </c>
      <c r="H258" s="6">
        <v>2702.82</v>
      </c>
      <c r="I258" s="6">
        <v>3711.49</v>
      </c>
      <c r="J258" s="10">
        <v>44848</v>
      </c>
      <c r="K258" s="10">
        <v>45438</v>
      </c>
      <c r="L258" s="9">
        <v>590</v>
      </c>
      <c r="M258" s="6">
        <v>927067.26</v>
      </c>
      <c r="N258" s="6">
        <v>1273041.07</v>
      </c>
      <c r="O258" s="6">
        <v>345973.81</v>
      </c>
      <c r="P258" s="8">
        <v>37.32</v>
      </c>
      <c r="Q258" s="7" t="s">
        <v>0</v>
      </c>
      <c r="R258" s="6">
        <v>0</v>
      </c>
      <c r="S258" s="6">
        <v>24597.38</v>
      </c>
    </row>
    <row r="259" spans="1:19" ht="18" customHeight="1" x14ac:dyDescent="0.3">
      <c r="A259" s="4" t="s">
        <v>191</v>
      </c>
      <c r="B259" s="2" t="s">
        <v>36</v>
      </c>
      <c r="C259" s="2" t="s">
        <v>23</v>
      </c>
      <c r="D259" s="2" t="s">
        <v>35</v>
      </c>
      <c r="E259" s="2" t="s">
        <v>12</v>
      </c>
      <c r="F259" s="2" t="s">
        <v>1</v>
      </c>
      <c r="G259" s="4">
        <v>299</v>
      </c>
      <c r="H259" s="1">
        <v>2879.18</v>
      </c>
      <c r="I259" s="1">
        <v>3017.67</v>
      </c>
      <c r="J259" s="5">
        <v>44582</v>
      </c>
      <c r="K259" s="5">
        <v>45310</v>
      </c>
      <c r="L259" s="4">
        <v>728</v>
      </c>
      <c r="M259" s="1">
        <v>860874.82</v>
      </c>
      <c r="N259" s="1">
        <v>902283.33</v>
      </c>
      <c r="O259" s="1">
        <v>41408.51</v>
      </c>
      <c r="P259" s="3">
        <v>4.8099999999999996</v>
      </c>
      <c r="Q259" s="2" t="s">
        <v>0</v>
      </c>
      <c r="R259" s="1">
        <v>0</v>
      </c>
      <c r="S259" s="1">
        <v>0</v>
      </c>
    </row>
    <row r="260" spans="1:19" ht="18" customHeight="1" x14ac:dyDescent="0.3">
      <c r="A260" s="9" t="s">
        <v>190</v>
      </c>
      <c r="B260" s="7" t="s">
        <v>33</v>
      </c>
      <c r="C260" s="7" t="s">
        <v>19</v>
      </c>
      <c r="D260" s="7" t="s">
        <v>32</v>
      </c>
      <c r="E260" s="7" t="s">
        <v>7</v>
      </c>
      <c r="F260" s="7" t="s">
        <v>1</v>
      </c>
      <c r="G260" s="9">
        <v>45</v>
      </c>
      <c r="H260" s="6">
        <v>571.36</v>
      </c>
      <c r="I260" s="6">
        <v>688.7</v>
      </c>
      <c r="J260" s="10">
        <v>44444</v>
      </c>
      <c r="K260" s="10">
        <v>44626</v>
      </c>
      <c r="L260" s="9">
        <v>182</v>
      </c>
      <c r="M260" s="6">
        <v>25711.200000000001</v>
      </c>
      <c r="N260" s="6">
        <v>30991.5</v>
      </c>
      <c r="O260" s="6">
        <v>5280.3</v>
      </c>
      <c r="P260" s="8">
        <v>20.54</v>
      </c>
      <c r="Q260" s="7" t="s">
        <v>26</v>
      </c>
      <c r="R260" s="6">
        <v>792.04</v>
      </c>
      <c r="S260" s="6">
        <v>0</v>
      </c>
    </row>
    <row r="261" spans="1:19" ht="18" customHeight="1" x14ac:dyDescent="0.3">
      <c r="A261" s="4" t="s">
        <v>189</v>
      </c>
      <c r="B261" s="2" t="s">
        <v>30</v>
      </c>
      <c r="C261" s="2" t="s">
        <v>14</v>
      </c>
      <c r="D261" s="2" t="s">
        <v>28</v>
      </c>
      <c r="E261" s="2" t="s">
        <v>27</v>
      </c>
      <c r="F261" s="2" t="s">
        <v>1</v>
      </c>
      <c r="G261" s="4">
        <v>435</v>
      </c>
      <c r="H261" s="1">
        <v>2100.34</v>
      </c>
      <c r="I261" s="1">
        <v>3064.4</v>
      </c>
      <c r="J261" s="5">
        <v>44386</v>
      </c>
      <c r="K261" s="5">
        <v>44736</v>
      </c>
      <c r="L261" s="4">
        <v>350</v>
      </c>
      <c r="M261" s="1">
        <v>913647.9</v>
      </c>
      <c r="N261" s="1">
        <v>1333014</v>
      </c>
      <c r="O261" s="1">
        <v>419366.1</v>
      </c>
      <c r="P261" s="3">
        <v>45.9</v>
      </c>
      <c r="Q261" s="2" t="s">
        <v>26</v>
      </c>
      <c r="R261" s="1">
        <v>62904.91</v>
      </c>
      <c r="S261" s="1">
        <v>0</v>
      </c>
    </row>
    <row r="262" spans="1:19" ht="18" customHeight="1" x14ac:dyDescent="0.3">
      <c r="A262" s="9" t="s">
        <v>188</v>
      </c>
      <c r="B262" s="7" t="s">
        <v>24</v>
      </c>
      <c r="C262" s="7" t="s">
        <v>9</v>
      </c>
      <c r="D262" s="7" t="s">
        <v>22</v>
      </c>
      <c r="E262" s="7" t="s">
        <v>7</v>
      </c>
      <c r="F262" s="7" t="s">
        <v>1</v>
      </c>
      <c r="G262" s="9">
        <v>393</v>
      </c>
      <c r="H262" s="6">
        <v>3305.9</v>
      </c>
      <c r="I262" s="6">
        <v>2959.01</v>
      </c>
      <c r="J262" s="10">
        <v>44549</v>
      </c>
      <c r="K262" s="10">
        <v>44617</v>
      </c>
      <c r="L262" s="9">
        <v>68</v>
      </c>
      <c r="M262" s="6">
        <v>1299218.7</v>
      </c>
      <c r="N262" s="6">
        <v>1162890.93</v>
      </c>
      <c r="O262" s="6">
        <v>-136327.76999999999</v>
      </c>
      <c r="P262" s="8">
        <v>-10.49</v>
      </c>
      <c r="Q262" s="7" t="s">
        <v>26</v>
      </c>
      <c r="R262" s="6">
        <v>0</v>
      </c>
      <c r="S262" s="6">
        <v>0</v>
      </c>
    </row>
    <row r="263" spans="1:19" ht="18" customHeight="1" x14ac:dyDescent="0.3">
      <c r="A263" s="4" t="s">
        <v>187</v>
      </c>
      <c r="B263" s="2" t="s">
        <v>20</v>
      </c>
      <c r="C263" s="2" t="s">
        <v>4</v>
      </c>
      <c r="D263" s="2" t="s">
        <v>18</v>
      </c>
      <c r="E263" s="2" t="s">
        <v>17</v>
      </c>
      <c r="F263" s="2" t="s">
        <v>1</v>
      </c>
      <c r="G263" s="4">
        <v>382</v>
      </c>
      <c r="H263" s="1">
        <v>1402.68</v>
      </c>
      <c r="I263" s="1">
        <v>2016.74</v>
      </c>
      <c r="J263" s="5">
        <v>44287</v>
      </c>
      <c r="K263" s="5">
        <v>44954</v>
      </c>
      <c r="L263" s="4">
        <v>667</v>
      </c>
      <c r="M263" s="1">
        <v>535823.76</v>
      </c>
      <c r="N263" s="1">
        <v>770394.68</v>
      </c>
      <c r="O263" s="1">
        <v>234570.92</v>
      </c>
      <c r="P263" s="3">
        <v>43.78</v>
      </c>
      <c r="Q263" s="2" t="s">
        <v>0</v>
      </c>
      <c r="R263" s="1">
        <v>0</v>
      </c>
      <c r="S263" s="1">
        <v>13457.09</v>
      </c>
    </row>
    <row r="264" spans="1:19" ht="18" customHeight="1" x14ac:dyDescent="0.3">
      <c r="A264" s="9" t="s">
        <v>186</v>
      </c>
      <c r="B264" s="7" t="s">
        <v>15</v>
      </c>
      <c r="C264" s="7" t="s">
        <v>29</v>
      </c>
      <c r="D264" s="7" t="s">
        <v>13</v>
      </c>
      <c r="E264" s="7" t="s">
        <v>12</v>
      </c>
      <c r="F264" s="7" t="s">
        <v>1</v>
      </c>
      <c r="G264" s="9">
        <v>477</v>
      </c>
      <c r="H264" s="6">
        <v>1277.6500000000001</v>
      </c>
      <c r="I264" s="6">
        <v>1689.5</v>
      </c>
      <c r="J264" s="10">
        <v>44711</v>
      </c>
      <c r="K264" s="10">
        <v>45341</v>
      </c>
      <c r="L264" s="9">
        <v>630</v>
      </c>
      <c r="M264" s="6">
        <v>609439.05000000005</v>
      </c>
      <c r="N264" s="6">
        <v>805891.5</v>
      </c>
      <c r="O264" s="6">
        <v>196452.45</v>
      </c>
      <c r="P264" s="8">
        <v>32.229999999999997</v>
      </c>
      <c r="Q264" s="7" t="s">
        <v>0</v>
      </c>
      <c r="R264" s="6">
        <v>0</v>
      </c>
      <c r="S264" s="6">
        <v>9645.25</v>
      </c>
    </row>
    <row r="265" spans="1:19" ht="18" customHeight="1" x14ac:dyDescent="0.3">
      <c r="A265" s="4" t="s">
        <v>185</v>
      </c>
      <c r="B265" s="2" t="s">
        <v>10</v>
      </c>
      <c r="C265" s="2" t="s">
        <v>23</v>
      </c>
      <c r="D265" s="2" t="s">
        <v>8</v>
      </c>
      <c r="E265" s="2" t="s">
        <v>7</v>
      </c>
      <c r="F265" s="2" t="s">
        <v>1</v>
      </c>
      <c r="G265" s="4">
        <v>210</v>
      </c>
      <c r="H265" s="1">
        <v>1233.75</v>
      </c>
      <c r="I265" s="1">
        <v>1681.99</v>
      </c>
      <c r="J265" s="5">
        <v>44208</v>
      </c>
      <c r="K265" s="5">
        <v>44293</v>
      </c>
      <c r="L265" s="4">
        <v>85</v>
      </c>
      <c r="M265" s="1">
        <v>259087.5</v>
      </c>
      <c r="N265" s="1">
        <v>353217.9</v>
      </c>
      <c r="O265" s="1">
        <v>94130.4</v>
      </c>
      <c r="P265" s="3">
        <v>36.33</v>
      </c>
      <c r="Q265" s="2" t="s">
        <v>26</v>
      </c>
      <c r="R265" s="1">
        <v>14119.56</v>
      </c>
      <c r="S265" s="1">
        <v>0</v>
      </c>
    </row>
    <row r="266" spans="1:19" ht="18" customHeight="1" x14ac:dyDescent="0.3">
      <c r="A266" s="9" t="s">
        <v>184</v>
      </c>
      <c r="B266" s="7" t="s">
        <v>5</v>
      </c>
      <c r="C266" s="7" t="s">
        <v>19</v>
      </c>
      <c r="D266" s="7" t="s">
        <v>3</v>
      </c>
      <c r="E266" s="7" t="s">
        <v>2</v>
      </c>
      <c r="F266" s="7" t="s">
        <v>1</v>
      </c>
      <c r="G266" s="9">
        <v>215</v>
      </c>
      <c r="H266" s="6">
        <v>2360.69</v>
      </c>
      <c r="I266" s="6">
        <v>1766.85</v>
      </c>
      <c r="J266" s="10">
        <v>45091</v>
      </c>
      <c r="K266" s="10">
        <v>45819</v>
      </c>
      <c r="L266" s="9">
        <v>728</v>
      </c>
      <c r="M266" s="6">
        <v>507548.35</v>
      </c>
      <c r="N266" s="6">
        <v>379872.75</v>
      </c>
      <c r="O266" s="6">
        <v>-127675.6</v>
      </c>
      <c r="P266" s="8">
        <v>-25.16</v>
      </c>
      <c r="Q266" s="7" t="s">
        <v>0</v>
      </c>
      <c r="R266" s="6">
        <v>0</v>
      </c>
      <c r="S266" s="6">
        <v>0</v>
      </c>
    </row>
    <row r="267" spans="1:19" ht="18" customHeight="1" x14ac:dyDescent="0.3">
      <c r="A267" s="4" t="s">
        <v>183</v>
      </c>
      <c r="B267" s="2" t="s">
        <v>62</v>
      </c>
      <c r="C267" s="2" t="s">
        <v>14</v>
      </c>
      <c r="D267" s="2" t="s">
        <v>61</v>
      </c>
      <c r="E267" s="2" t="s">
        <v>60</v>
      </c>
      <c r="F267" s="2" t="s">
        <v>1</v>
      </c>
      <c r="G267" s="4">
        <v>431</v>
      </c>
      <c r="H267" s="1">
        <v>264.08999999999997</v>
      </c>
      <c r="I267" s="1">
        <v>222.58</v>
      </c>
      <c r="J267" s="5">
        <v>44774</v>
      </c>
      <c r="K267" s="5">
        <v>45437</v>
      </c>
      <c r="L267" s="4">
        <v>663</v>
      </c>
      <c r="M267" s="1">
        <v>113822.79</v>
      </c>
      <c r="N267" s="1">
        <v>95931.98</v>
      </c>
      <c r="O267" s="1">
        <v>-17890.810000000001</v>
      </c>
      <c r="P267" s="3">
        <v>-15.72</v>
      </c>
      <c r="Q267" s="2" t="s">
        <v>0</v>
      </c>
      <c r="R267" s="1">
        <v>0</v>
      </c>
      <c r="S267" s="1">
        <v>0</v>
      </c>
    </row>
    <row r="268" spans="1:19" ht="18" customHeight="1" x14ac:dyDescent="0.3">
      <c r="A268" s="9" t="s">
        <v>182</v>
      </c>
      <c r="B268" s="7" t="s">
        <v>58</v>
      </c>
      <c r="C268" s="7" t="s">
        <v>9</v>
      </c>
      <c r="D268" s="7" t="s">
        <v>57</v>
      </c>
      <c r="E268" s="7" t="s">
        <v>56</v>
      </c>
      <c r="F268" s="7" t="s">
        <v>1</v>
      </c>
      <c r="G268" s="9">
        <v>199</v>
      </c>
      <c r="H268" s="6">
        <v>2395.63</v>
      </c>
      <c r="I268" s="6">
        <v>2447.4499999999998</v>
      </c>
      <c r="J268" s="10">
        <v>44520</v>
      </c>
      <c r="K268" s="10">
        <v>44789</v>
      </c>
      <c r="L268" s="9">
        <v>269</v>
      </c>
      <c r="M268" s="6">
        <v>476730.37</v>
      </c>
      <c r="N268" s="6">
        <v>487042.55</v>
      </c>
      <c r="O268" s="6">
        <v>10312.18</v>
      </c>
      <c r="P268" s="8">
        <v>2.16</v>
      </c>
      <c r="Q268" s="7" t="s">
        <v>26</v>
      </c>
      <c r="R268" s="6">
        <v>1546.83</v>
      </c>
      <c r="S268" s="6">
        <v>0</v>
      </c>
    </row>
    <row r="269" spans="1:19" ht="18" customHeight="1" x14ac:dyDescent="0.3">
      <c r="A269" s="4" t="s">
        <v>181</v>
      </c>
      <c r="B269" s="2" t="s">
        <v>54</v>
      </c>
      <c r="C269" s="2" t="s">
        <v>4</v>
      </c>
      <c r="D269" s="2" t="s">
        <v>53</v>
      </c>
      <c r="E269" s="2" t="s">
        <v>52</v>
      </c>
      <c r="F269" s="2" t="s">
        <v>1</v>
      </c>
      <c r="G269" s="4">
        <v>52</v>
      </c>
      <c r="H269" s="1">
        <v>1825.66</v>
      </c>
      <c r="I269" s="1">
        <v>1484.35</v>
      </c>
      <c r="J269" s="5">
        <v>44228</v>
      </c>
      <c r="K269" s="5">
        <v>44998</v>
      </c>
      <c r="L269" s="4">
        <v>770</v>
      </c>
      <c r="M269" s="1">
        <v>94934.32</v>
      </c>
      <c r="N269" s="1">
        <v>77186.2</v>
      </c>
      <c r="O269" s="1">
        <v>-17748.12</v>
      </c>
      <c r="P269" s="3">
        <v>-18.7</v>
      </c>
      <c r="Q269" s="2" t="s">
        <v>0</v>
      </c>
      <c r="R269" s="1">
        <v>0</v>
      </c>
      <c r="S269" s="1">
        <v>0</v>
      </c>
    </row>
    <row r="270" spans="1:19" ht="18" customHeight="1" x14ac:dyDescent="0.3">
      <c r="A270" s="9" t="s">
        <v>180</v>
      </c>
      <c r="B270" s="7" t="s">
        <v>50</v>
      </c>
      <c r="C270" s="7" t="s">
        <v>29</v>
      </c>
      <c r="D270" s="7" t="s">
        <v>49</v>
      </c>
      <c r="E270" s="7" t="s">
        <v>48</v>
      </c>
      <c r="F270" s="7" t="s">
        <v>1</v>
      </c>
      <c r="G270" s="9">
        <v>310</v>
      </c>
      <c r="H270" s="6">
        <v>2516.7399999999998</v>
      </c>
      <c r="I270" s="6">
        <v>2564.4299999999998</v>
      </c>
      <c r="J270" s="10">
        <v>44645</v>
      </c>
      <c r="K270" s="10">
        <v>44843</v>
      </c>
      <c r="L270" s="9">
        <v>198</v>
      </c>
      <c r="M270" s="6">
        <v>780189.4</v>
      </c>
      <c r="N270" s="6">
        <v>794973.3</v>
      </c>
      <c r="O270" s="6">
        <v>14783.9</v>
      </c>
      <c r="P270" s="8">
        <v>1.89</v>
      </c>
      <c r="Q270" s="7" t="s">
        <v>26</v>
      </c>
      <c r="R270" s="6">
        <v>2217.59</v>
      </c>
      <c r="S270" s="6">
        <v>0</v>
      </c>
    </row>
    <row r="271" spans="1:19" ht="18" customHeight="1" x14ac:dyDescent="0.3">
      <c r="A271" s="4" t="s">
        <v>179</v>
      </c>
      <c r="B271" s="2" t="s">
        <v>46</v>
      </c>
      <c r="C271" s="2" t="s">
        <v>23</v>
      </c>
      <c r="D271" s="2" t="s">
        <v>45</v>
      </c>
      <c r="E271" s="2" t="s">
        <v>44</v>
      </c>
      <c r="F271" s="2" t="s">
        <v>1</v>
      </c>
      <c r="G271" s="4">
        <v>394</v>
      </c>
      <c r="H271" s="1">
        <v>2845.92</v>
      </c>
      <c r="I271" s="1">
        <v>3184.72</v>
      </c>
      <c r="J271" s="5">
        <v>44576</v>
      </c>
      <c r="K271" s="5">
        <v>45312</v>
      </c>
      <c r="L271" s="4">
        <v>736</v>
      </c>
      <c r="M271" s="1">
        <v>1121292.48</v>
      </c>
      <c r="N271" s="1">
        <v>1254779.68</v>
      </c>
      <c r="O271" s="1">
        <v>133487.20000000001</v>
      </c>
      <c r="P271" s="3">
        <v>11.9</v>
      </c>
      <c r="Q271" s="2" t="s">
        <v>0</v>
      </c>
      <c r="R271" s="1">
        <v>0</v>
      </c>
      <c r="S271" s="1">
        <v>3348.72</v>
      </c>
    </row>
    <row r="272" spans="1:19" ht="18" customHeight="1" x14ac:dyDescent="0.3">
      <c r="A272" s="9" t="s">
        <v>178</v>
      </c>
      <c r="B272" s="7" t="s">
        <v>42</v>
      </c>
      <c r="C272" s="7" t="s">
        <v>19</v>
      </c>
      <c r="D272" s="7" t="s">
        <v>41</v>
      </c>
      <c r="E272" s="7" t="s">
        <v>12</v>
      </c>
      <c r="F272" s="7" t="s">
        <v>1</v>
      </c>
      <c r="G272" s="9">
        <v>206</v>
      </c>
      <c r="H272" s="6">
        <v>317.22000000000003</v>
      </c>
      <c r="I272" s="6">
        <v>417.34</v>
      </c>
      <c r="J272" s="10">
        <v>44387</v>
      </c>
      <c r="K272" s="10">
        <v>44653</v>
      </c>
      <c r="L272" s="9">
        <v>266</v>
      </c>
      <c r="M272" s="6">
        <v>65347.32</v>
      </c>
      <c r="N272" s="6">
        <v>85972.04</v>
      </c>
      <c r="O272" s="6">
        <v>20624.72</v>
      </c>
      <c r="P272" s="8">
        <v>31.56</v>
      </c>
      <c r="Q272" s="7" t="s">
        <v>26</v>
      </c>
      <c r="R272" s="6">
        <v>3093.71</v>
      </c>
      <c r="S272" s="6">
        <v>0</v>
      </c>
    </row>
    <row r="273" spans="1:19" ht="18" customHeight="1" x14ac:dyDescent="0.3">
      <c r="A273" s="4" t="s">
        <v>177</v>
      </c>
      <c r="B273" s="2" t="s">
        <v>39</v>
      </c>
      <c r="C273" s="2" t="s">
        <v>14</v>
      </c>
      <c r="D273" s="2" t="s">
        <v>38</v>
      </c>
      <c r="E273" s="2" t="s">
        <v>7</v>
      </c>
      <c r="F273" s="2" t="s">
        <v>1</v>
      </c>
      <c r="G273" s="4">
        <v>83</v>
      </c>
      <c r="H273" s="1">
        <v>2277.1</v>
      </c>
      <c r="I273" s="1">
        <v>2054.7800000000002</v>
      </c>
      <c r="J273" s="5">
        <v>44500</v>
      </c>
      <c r="K273" s="5">
        <v>45367</v>
      </c>
      <c r="L273" s="4">
        <v>867</v>
      </c>
      <c r="M273" s="1">
        <v>188999.3</v>
      </c>
      <c r="N273" s="1">
        <v>170546.74</v>
      </c>
      <c r="O273" s="1">
        <v>-18452.560000000001</v>
      </c>
      <c r="P273" s="3">
        <v>-9.76</v>
      </c>
      <c r="Q273" s="2" t="s">
        <v>0</v>
      </c>
      <c r="R273" s="1">
        <v>0</v>
      </c>
      <c r="S273" s="1">
        <v>0</v>
      </c>
    </row>
    <row r="274" spans="1:19" ht="18" customHeight="1" x14ac:dyDescent="0.3">
      <c r="A274" s="9" t="s">
        <v>176</v>
      </c>
      <c r="B274" s="7" t="s">
        <v>36</v>
      </c>
      <c r="C274" s="7" t="s">
        <v>9</v>
      </c>
      <c r="D274" s="7" t="s">
        <v>35</v>
      </c>
      <c r="E274" s="7" t="s">
        <v>12</v>
      </c>
      <c r="F274" s="7" t="s">
        <v>1</v>
      </c>
      <c r="G274" s="9">
        <v>334</v>
      </c>
      <c r="H274" s="6">
        <v>978.29</v>
      </c>
      <c r="I274" s="6">
        <v>817.93</v>
      </c>
      <c r="J274" s="10">
        <v>44414</v>
      </c>
      <c r="K274" s="10">
        <v>45266</v>
      </c>
      <c r="L274" s="9">
        <v>852</v>
      </c>
      <c r="M274" s="6">
        <v>326748.86</v>
      </c>
      <c r="N274" s="6">
        <v>273188.62</v>
      </c>
      <c r="O274" s="6">
        <v>-53560.24</v>
      </c>
      <c r="P274" s="8">
        <v>-16.39</v>
      </c>
      <c r="Q274" s="7" t="s">
        <v>0</v>
      </c>
      <c r="R274" s="6">
        <v>0</v>
      </c>
      <c r="S274" s="6">
        <v>0</v>
      </c>
    </row>
    <row r="275" spans="1:19" ht="18" customHeight="1" x14ac:dyDescent="0.3">
      <c r="A275" s="4" t="s">
        <v>175</v>
      </c>
      <c r="B275" s="2" t="s">
        <v>33</v>
      </c>
      <c r="C275" s="2" t="s">
        <v>4</v>
      </c>
      <c r="D275" s="2" t="s">
        <v>32</v>
      </c>
      <c r="E275" s="2" t="s">
        <v>7</v>
      </c>
      <c r="F275" s="2" t="s">
        <v>1</v>
      </c>
      <c r="G275" s="4">
        <v>441</v>
      </c>
      <c r="H275" s="1">
        <v>960.68</v>
      </c>
      <c r="I275" s="1">
        <v>1155.6099999999999</v>
      </c>
      <c r="J275" s="5">
        <v>44828</v>
      </c>
      <c r="K275" s="5">
        <v>45444</v>
      </c>
      <c r="L275" s="4">
        <v>616</v>
      </c>
      <c r="M275" s="1">
        <v>423659.88</v>
      </c>
      <c r="N275" s="1">
        <v>509624.01</v>
      </c>
      <c r="O275" s="1">
        <v>85964.13</v>
      </c>
      <c r="P275" s="3">
        <v>20.29</v>
      </c>
      <c r="Q275" s="2" t="s">
        <v>0</v>
      </c>
      <c r="R275" s="1">
        <v>0</v>
      </c>
      <c r="S275" s="1">
        <v>0</v>
      </c>
    </row>
    <row r="276" spans="1:19" ht="18" customHeight="1" x14ac:dyDescent="0.3">
      <c r="A276" s="9" t="s">
        <v>174</v>
      </c>
      <c r="B276" s="7" t="s">
        <v>30</v>
      </c>
      <c r="C276" s="7" t="s">
        <v>29</v>
      </c>
      <c r="D276" s="7" t="s">
        <v>28</v>
      </c>
      <c r="E276" s="7" t="s">
        <v>27</v>
      </c>
      <c r="F276" s="7" t="s">
        <v>1</v>
      </c>
      <c r="G276" s="9">
        <v>281</v>
      </c>
      <c r="H276" s="6">
        <v>3335.32</v>
      </c>
      <c r="I276" s="6">
        <v>4383.5200000000004</v>
      </c>
      <c r="J276" s="10">
        <v>44802</v>
      </c>
      <c r="K276" s="10">
        <v>45479</v>
      </c>
      <c r="L276" s="9">
        <v>677</v>
      </c>
      <c r="M276" s="6">
        <v>937224.92</v>
      </c>
      <c r="N276" s="6">
        <v>1231769.1200000001</v>
      </c>
      <c r="O276" s="6">
        <v>294544.2</v>
      </c>
      <c r="P276" s="8">
        <v>31.43</v>
      </c>
      <c r="Q276" s="7" t="s">
        <v>0</v>
      </c>
      <c r="R276" s="6">
        <v>0</v>
      </c>
      <c r="S276" s="6">
        <v>19454.419999999998</v>
      </c>
    </row>
    <row r="277" spans="1:19" ht="18" customHeight="1" x14ac:dyDescent="0.3">
      <c r="A277" s="4" t="s">
        <v>173</v>
      </c>
      <c r="B277" s="2" t="s">
        <v>24</v>
      </c>
      <c r="C277" s="2" t="s">
        <v>23</v>
      </c>
      <c r="D277" s="2" t="s">
        <v>22</v>
      </c>
      <c r="E277" s="2" t="s">
        <v>7</v>
      </c>
      <c r="F277" s="2" t="s">
        <v>1</v>
      </c>
      <c r="G277" s="4">
        <v>161</v>
      </c>
      <c r="H277" s="1">
        <v>2559.62</v>
      </c>
      <c r="I277" s="1">
        <v>2144.98</v>
      </c>
      <c r="J277" s="5">
        <v>45034</v>
      </c>
      <c r="K277" s="5">
        <v>45327</v>
      </c>
      <c r="L277" s="4">
        <v>293</v>
      </c>
      <c r="M277" s="1">
        <v>412098.82</v>
      </c>
      <c r="N277" s="1">
        <v>345341.78</v>
      </c>
      <c r="O277" s="1">
        <v>-66757.039999999994</v>
      </c>
      <c r="P277" s="3">
        <v>-16.2</v>
      </c>
      <c r="Q277" s="2" t="s">
        <v>26</v>
      </c>
      <c r="R277" s="1">
        <v>0</v>
      </c>
      <c r="S277" s="1">
        <v>0</v>
      </c>
    </row>
    <row r="278" spans="1:19" ht="18" customHeight="1" x14ac:dyDescent="0.3">
      <c r="A278" s="9" t="s">
        <v>172</v>
      </c>
      <c r="B278" s="7" t="s">
        <v>20</v>
      </c>
      <c r="C278" s="7" t="s">
        <v>19</v>
      </c>
      <c r="D278" s="7" t="s">
        <v>18</v>
      </c>
      <c r="E278" s="7" t="s">
        <v>17</v>
      </c>
      <c r="F278" s="7" t="s">
        <v>1</v>
      </c>
      <c r="G278" s="9">
        <v>434</v>
      </c>
      <c r="H278" s="6">
        <v>3442.46</v>
      </c>
      <c r="I278" s="6">
        <v>3356.64</v>
      </c>
      <c r="J278" s="10">
        <v>44709</v>
      </c>
      <c r="K278" s="10">
        <v>44979</v>
      </c>
      <c r="L278" s="9">
        <v>270</v>
      </c>
      <c r="M278" s="6">
        <v>1494027.64</v>
      </c>
      <c r="N278" s="6">
        <v>1456781.76</v>
      </c>
      <c r="O278" s="6">
        <v>-37245.879999999997</v>
      </c>
      <c r="P278" s="8">
        <v>-2.4900000000000002</v>
      </c>
      <c r="Q278" s="7" t="s">
        <v>26</v>
      </c>
      <c r="R278" s="6">
        <v>0</v>
      </c>
      <c r="S278" s="6">
        <v>0</v>
      </c>
    </row>
    <row r="279" spans="1:19" ht="18" customHeight="1" x14ac:dyDescent="0.3">
      <c r="A279" s="4" t="s">
        <v>171</v>
      </c>
      <c r="B279" s="2" t="s">
        <v>15</v>
      </c>
      <c r="C279" s="2" t="s">
        <v>14</v>
      </c>
      <c r="D279" s="2" t="s">
        <v>13</v>
      </c>
      <c r="E279" s="2" t="s">
        <v>12</v>
      </c>
      <c r="F279" s="2" t="s">
        <v>1</v>
      </c>
      <c r="G279" s="4">
        <v>179</v>
      </c>
      <c r="H279" s="1">
        <v>3016.43</v>
      </c>
      <c r="I279" s="1">
        <v>4370.1099999999997</v>
      </c>
      <c r="J279" s="5">
        <v>44325</v>
      </c>
      <c r="K279" s="5">
        <v>45074</v>
      </c>
      <c r="L279" s="4">
        <v>749</v>
      </c>
      <c r="M279" s="1">
        <v>539940.97</v>
      </c>
      <c r="N279" s="1">
        <v>782249.69</v>
      </c>
      <c r="O279" s="1">
        <v>242308.72</v>
      </c>
      <c r="P279" s="3">
        <v>44.88</v>
      </c>
      <c r="Q279" s="2" t="s">
        <v>0</v>
      </c>
      <c r="R279" s="1">
        <v>0</v>
      </c>
      <c r="S279" s="1">
        <v>14230.87</v>
      </c>
    </row>
    <row r="280" spans="1:19" ht="18" customHeight="1" x14ac:dyDescent="0.3">
      <c r="A280" s="9" t="s">
        <v>170</v>
      </c>
      <c r="B280" s="7" t="s">
        <v>10</v>
      </c>
      <c r="C280" s="7" t="s">
        <v>9</v>
      </c>
      <c r="D280" s="7" t="s">
        <v>8</v>
      </c>
      <c r="E280" s="7" t="s">
        <v>7</v>
      </c>
      <c r="F280" s="7" t="s">
        <v>1</v>
      </c>
      <c r="G280" s="9">
        <v>197</v>
      </c>
      <c r="H280" s="6">
        <v>1846.37</v>
      </c>
      <c r="I280" s="6">
        <v>2219.84</v>
      </c>
      <c r="J280" s="10">
        <v>44919</v>
      </c>
      <c r="K280" s="10">
        <v>45108</v>
      </c>
      <c r="L280" s="9">
        <v>189</v>
      </c>
      <c r="M280" s="6">
        <v>363734.89</v>
      </c>
      <c r="N280" s="6">
        <v>437308.48</v>
      </c>
      <c r="O280" s="6">
        <v>73573.59</v>
      </c>
      <c r="P280" s="8">
        <v>20.23</v>
      </c>
      <c r="Q280" s="7" t="s">
        <v>26</v>
      </c>
      <c r="R280" s="6">
        <v>11036.04</v>
      </c>
      <c r="S280" s="6">
        <v>0</v>
      </c>
    </row>
    <row r="281" spans="1:19" ht="18" customHeight="1" x14ac:dyDescent="0.3">
      <c r="A281" s="4" t="s">
        <v>169</v>
      </c>
      <c r="B281" s="2" t="s">
        <v>5</v>
      </c>
      <c r="C281" s="2" t="s">
        <v>4</v>
      </c>
      <c r="D281" s="2" t="s">
        <v>3</v>
      </c>
      <c r="E281" s="2" t="s">
        <v>2</v>
      </c>
      <c r="F281" s="2" t="s">
        <v>1</v>
      </c>
      <c r="G281" s="4">
        <v>325</v>
      </c>
      <c r="H281" s="1">
        <v>1530.08</v>
      </c>
      <c r="I281" s="1">
        <v>1209.1600000000001</v>
      </c>
      <c r="J281" s="5">
        <v>44995</v>
      </c>
      <c r="K281" s="5">
        <v>45866</v>
      </c>
      <c r="L281" s="4">
        <v>871</v>
      </c>
      <c r="M281" s="1">
        <v>497276</v>
      </c>
      <c r="N281" s="1">
        <v>392977</v>
      </c>
      <c r="O281" s="1">
        <v>-104299</v>
      </c>
      <c r="P281" s="3">
        <v>-20.97</v>
      </c>
      <c r="Q281" s="2" t="s">
        <v>0</v>
      </c>
      <c r="R281" s="1">
        <v>0</v>
      </c>
      <c r="S281" s="1">
        <v>0</v>
      </c>
    </row>
    <row r="282" spans="1:19" ht="18" customHeight="1" x14ac:dyDescent="0.3">
      <c r="A282" s="9" t="s">
        <v>168</v>
      </c>
      <c r="B282" s="7" t="s">
        <v>62</v>
      </c>
      <c r="C282" s="7" t="s">
        <v>29</v>
      </c>
      <c r="D282" s="7" t="s">
        <v>61</v>
      </c>
      <c r="E282" s="7" t="s">
        <v>60</v>
      </c>
      <c r="F282" s="7" t="s">
        <v>1</v>
      </c>
      <c r="G282" s="9">
        <v>407</v>
      </c>
      <c r="H282" s="6">
        <v>1871.79</v>
      </c>
      <c r="I282" s="6">
        <v>2297.8000000000002</v>
      </c>
      <c r="J282" s="10">
        <v>44987</v>
      </c>
      <c r="K282" s="10">
        <v>45761</v>
      </c>
      <c r="L282" s="9">
        <v>774</v>
      </c>
      <c r="M282" s="6">
        <v>761818.53</v>
      </c>
      <c r="N282" s="6">
        <v>935204.6</v>
      </c>
      <c r="O282" s="6">
        <v>173386.07</v>
      </c>
      <c r="P282" s="8">
        <v>22.76</v>
      </c>
      <c r="Q282" s="7" t="s">
        <v>0</v>
      </c>
      <c r="R282" s="6">
        <v>0</v>
      </c>
      <c r="S282" s="6">
        <v>7338.61</v>
      </c>
    </row>
    <row r="283" spans="1:19" ht="18" customHeight="1" x14ac:dyDescent="0.3">
      <c r="A283" s="4" t="s">
        <v>167</v>
      </c>
      <c r="B283" s="2" t="s">
        <v>58</v>
      </c>
      <c r="C283" s="2" t="s">
        <v>23</v>
      </c>
      <c r="D283" s="2" t="s">
        <v>57</v>
      </c>
      <c r="E283" s="2" t="s">
        <v>56</v>
      </c>
      <c r="F283" s="2" t="s">
        <v>1</v>
      </c>
      <c r="G283" s="4">
        <v>452</v>
      </c>
      <c r="H283" s="1">
        <v>3199.51</v>
      </c>
      <c r="I283" s="1">
        <v>2369.6</v>
      </c>
      <c r="J283" s="5">
        <v>44349</v>
      </c>
      <c r="K283" s="5">
        <v>45187</v>
      </c>
      <c r="L283" s="4">
        <v>838</v>
      </c>
      <c r="M283" s="1">
        <v>1446178.52</v>
      </c>
      <c r="N283" s="1">
        <v>1071059.2</v>
      </c>
      <c r="O283" s="1">
        <v>-375119.32</v>
      </c>
      <c r="P283" s="3">
        <v>-25.94</v>
      </c>
      <c r="Q283" s="2" t="s">
        <v>0</v>
      </c>
      <c r="R283" s="1">
        <v>0</v>
      </c>
      <c r="S283" s="1">
        <v>0</v>
      </c>
    </row>
    <row r="284" spans="1:19" ht="18" customHeight="1" x14ac:dyDescent="0.3">
      <c r="A284" s="9" t="s">
        <v>166</v>
      </c>
      <c r="B284" s="7" t="s">
        <v>54</v>
      </c>
      <c r="C284" s="7" t="s">
        <v>19</v>
      </c>
      <c r="D284" s="7" t="s">
        <v>53</v>
      </c>
      <c r="E284" s="7" t="s">
        <v>52</v>
      </c>
      <c r="F284" s="7" t="s">
        <v>1</v>
      </c>
      <c r="G284" s="9">
        <v>36</v>
      </c>
      <c r="H284" s="6">
        <v>843.44</v>
      </c>
      <c r="I284" s="6">
        <v>632.5</v>
      </c>
      <c r="J284" s="10">
        <v>44570</v>
      </c>
      <c r="K284" s="10">
        <v>44731</v>
      </c>
      <c r="L284" s="9">
        <v>161</v>
      </c>
      <c r="M284" s="6">
        <v>30363.84</v>
      </c>
      <c r="N284" s="6">
        <v>22770</v>
      </c>
      <c r="O284" s="6">
        <v>-7593.84</v>
      </c>
      <c r="P284" s="8">
        <v>-25.01</v>
      </c>
      <c r="Q284" s="7" t="s">
        <v>26</v>
      </c>
      <c r="R284" s="6">
        <v>0</v>
      </c>
      <c r="S284" s="6">
        <v>0</v>
      </c>
    </row>
    <row r="285" spans="1:19" ht="18" customHeight="1" x14ac:dyDescent="0.3">
      <c r="A285" s="4" t="s">
        <v>165</v>
      </c>
      <c r="B285" s="2" t="s">
        <v>50</v>
      </c>
      <c r="C285" s="2" t="s">
        <v>14</v>
      </c>
      <c r="D285" s="2" t="s">
        <v>49</v>
      </c>
      <c r="E285" s="2" t="s">
        <v>48</v>
      </c>
      <c r="F285" s="2" t="s">
        <v>1</v>
      </c>
      <c r="G285" s="4">
        <v>140</v>
      </c>
      <c r="H285" s="1">
        <v>463.86</v>
      </c>
      <c r="I285" s="1">
        <v>475.34</v>
      </c>
      <c r="J285" s="5">
        <v>44728</v>
      </c>
      <c r="K285" s="5">
        <v>44788</v>
      </c>
      <c r="L285" s="4">
        <v>60</v>
      </c>
      <c r="M285" s="1">
        <v>64940.4</v>
      </c>
      <c r="N285" s="1">
        <v>66547.600000000006</v>
      </c>
      <c r="O285" s="1">
        <v>1607.2</v>
      </c>
      <c r="P285" s="3">
        <v>2.4700000000000002</v>
      </c>
      <c r="Q285" s="2" t="s">
        <v>26</v>
      </c>
      <c r="R285" s="1">
        <v>241.08</v>
      </c>
      <c r="S285" s="1">
        <v>0</v>
      </c>
    </row>
    <row r="286" spans="1:19" ht="18" customHeight="1" x14ac:dyDescent="0.3">
      <c r="A286" s="9" t="s">
        <v>164</v>
      </c>
      <c r="B286" s="7" t="s">
        <v>46</v>
      </c>
      <c r="C286" s="7" t="s">
        <v>9</v>
      </c>
      <c r="D286" s="7" t="s">
        <v>45</v>
      </c>
      <c r="E286" s="7" t="s">
        <v>44</v>
      </c>
      <c r="F286" s="7" t="s">
        <v>1</v>
      </c>
      <c r="G286" s="9">
        <v>179</v>
      </c>
      <c r="H286" s="6">
        <v>476.34</v>
      </c>
      <c r="I286" s="6">
        <v>676.44</v>
      </c>
      <c r="J286" s="10">
        <v>44780</v>
      </c>
      <c r="K286" s="10">
        <v>44918</v>
      </c>
      <c r="L286" s="9">
        <v>138</v>
      </c>
      <c r="M286" s="6">
        <v>85264.86</v>
      </c>
      <c r="N286" s="6">
        <v>121082.76</v>
      </c>
      <c r="O286" s="6">
        <v>35817.9</v>
      </c>
      <c r="P286" s="8">
        <v>42.01</v>
      </c>
      <c r="Q286" s="7" t="s">
        <v>26</v>
      </c>
      <c r="R286" s="6">
        <v>5372.69</v>
      </c>
      <c r="S286" s="6">
        <v>0</v>
      </c>
    </row>
    <row r="287" spans="1:19" ht="18" customHeight="1" x14ac:dyDescent="0.3">
      <c r="A287" s="4" t="s">
        <v>163</v>
      </c>
      <c r="B287" s="2" t="s">
        <v>42</v>
      </c>
      <c r="C287" s="2" t="s">
        <v>4</v>
      </c>
      <c r="D287" s="2" t="s">
        <v>41</v>
      </c>
      <c r="E287" s="2" t="s">
        <v>12</v>
      </c>
      <c r="F287" s="2" t="s">
        <v>1</v>
      </c>
      <c r="G287" s="4">
        <v>461</v>
      </c>
      <c r="H287" s="1">
        <v>2663.47</v>
      </c>
      <c r="I287" s="1">
        <v>2691.83</v>
      </c>
      <c r="J287" s="5">
        <v>45011</v>
      </c>
      <c r="K287" s="5">
        <v>45456</v>
      </c>
      <c r="L287" s="4">
        <v>445</v>
      </c>
      <c r="M287" s="1">
        <v>1227859.67</v>
      </c>
      <c r="N287" s="1">
        <v>1240933.6299999999</v>
      </c>
      <c r="O287" s="1">
        <v>13073.96</v>
      </c>
      <c r="P287" s="3">
        <v>1.06</v>
      </c>
      <c r="Q287" s="2" t="s">
        <v>0</v>
      </c>
      <c r="R287" s="1">
        <v>0</v>
      </c>
      <c r="S287" s="1">
        <v>0</v>
      </c>
    </row>
    <row r="288" spans="1:19" ht="18" customHeight="1" x14ac:dyDescent="0.3">
      <c r="A288" s="9" t="s">
        <v>162</v>
      </c>
      <c r="B288" s="7" t="s">
        <v>39</v>
      </c>
      <c r="C288" s="7" t="s">
        <v>29</v>
      </c>
      <c r="D288" s="7" t="s">
        <v>38</v>
      </c>
      <c r="E288" s="7" t="s">
        <v>7</v>
      </c>
      <c r="F288" s="7" t="s">
        <v>1</v>
      </c>
      <c r="G288" s="9">
        <v>201</v>
      </c>
      <c r="H288" s="6">
        <v>1304.43</v>
      </c>
      <c r="I288" s="6">
        <v>1331.09</v>
      </c>
      <c r="J288" s="10">
        <v>44898</v>
      </c>
      <c r="K288" s="10">
        <v>45557</v>
      </c>
      <c r="L288" s="9">
        <v>659</v>
      </c>
      <c r="M288" s="6">
        <v>262190.43</v>
      </c>
      <c r="N288" s="6">
        <v>267549.09000000003</v>
      </c>
      <c r="O288" s="6">
        <v>5358.66</v>
      </c>
      <c r="P288" s="8">
        <v>2.04</v>
      </c>
      <c r="Q288" s="7" t="s">
        <v>0</v>
      </c>
      <c r="R288" s="6">
        <v>0</v>
      </c>
      <c r="S288" s="6">
        <v>0</v>
      </c>
    </row>
    <row r="289" spans="1:19" ht="18" customHeight="1" x14ac:dyDescent="0.3">
      <c r="A289" s="4" t="s">
        <v>161</v>
      </c>
      <c r="B289" s="2" t="s">
        <v>36</v>
      </c>
      <c r="C289" s="2" t="s">
        <v>23</v>
      </c>
      <c r="D289" s="2" t="s">
        <v>35</v>
      </c>
      <c r="E289" s="2" t="s">
        <v>12</v>
      </c>
      <c r="F289" s="2" t="s">
        <v>1</v>
      </c>
      <c r="G289" s="4">
        <v>445</v>
      </c>
      <c r="H289" s="1">
        <v>808.3</v>
      </c>
      <c r="I289" s="1">
        <v>1284.1600000000001</v>
      </c>
      <c r="J289" s="5">
        <v>44717</v>
      </c>
      <c r="K289" s="5">
        <v>45397</v>
      </c>
      <c r="L289" s="4">
        <v>680</v>
      </c>
      <c r="M289" s="1">
        <v>359693.5</v>
      </c>
      <c r="N289" s="1">
        <v>571451.19999999995</v>
      </c>
      <c r="O289" s="1">
        <v>211757.7</v>
      </c>
      <c r="P289" s="3">
        <v>58.87</v>
      </c>
      <c r="Q289" s="2" t="s">
        <v>0</v>
      </c>
      <c r="R289" s="1">
        <v>0</v>
      </c>
      <c r="S289" s="1">
        <v>11175.77</v>
      </c>
    </row>
    <row r="290" spans="1:19" ht="18" customHeight="1" x14ac:dyDescent="0.3">
      <c r="A290" s="9" t="s">
        <v>160</v>
      </c>
      <c r="B290" s="7" t="s">
        <v>33</v>
      </c>
      <c r="C290" s="7" t="s">
        <v>19</v>
      </c>
      <c r="D290" s="7" t="s">
        <v>32</v>
      </c>
      <c r="E290" s="7" t="s">
        <v>7</v>
      </c>
      <c r="F290" s="7" t="s">
        <v>1</v>
      </c>
      <c r="G290" s="9">
        <v>413</v>
      </c>
      <c r="H290" s="6">
        <v>2736.17</v>
      </c>
      <c r="I290" s="6">
        <v>2111.91</v>
      </c>
      <c r="J290" s="10">
        <v>44708</v>
      </c>
      <c r="K290" s="10">
        <v>45132</v>
      </c>
      <c r="L290" s="9">
        <v>424</v>
      </c>
      <c r="M290" s="6">
        <v>1130038.21</v>
      </c>
      <c r="N290" s="6">
        <v>872218.83</v>
      </c>
      <c r="O290" s="6">
        <v>-257819.38</v>
      </c>
      <c r="P290" s="8">
        <v>-22.82</v>
      </c>
      <c r="Q290" s="7" t="s">
        <v>0</v>
      </c>
      <c r="R290" s="6">
        <v>0</v>
      </c>
      <c r="S290" s="6">
        <v>0</v>
      </c>
    </row>
    <row r="291" spans="1:19" ht="18" customHeight="1" x14ac:dyDescent="0.3">
      <c r="A291" s="4" t="s">
        <v>159</v>
      </c>
      <c r="B291" s="2" t="s">
        <v>30</v>
      </c>
      <c r="C291" s="2" t="s">
        <v>14</v>
      </c>
      <c r="D291" s="2" t="s">
        <v>28</v>
      </c>
      <c r="E291" s="2" t="s">
        <v>27</v>
      </c>
      <c r="F291" s="2" t="s">
        <v>1</v>
      </c>
      <c r="G291" s="4">
        <v>307</v>
      </c>
      <c r="H291" s="1">
        <v>2727.35</v>
      </c>
      <c r="I291" s="1">
        <v>3496.28</v>
      </c>
      <c r="J291" s="5">
        <v>44649</v>
      </c>
      <c r="K291" s="5">
        <v>45387</v>
      </c>
      <c r="L291" s="4">
        <v>738</v>
      </c>
      <c r="M291" s="1">
        <v>837296.45</v>
      </c>
      <c r="N291" s="1">
        <v>1073357.96</v>
      </c>
      <c r="O291" s="1">
        <v>236061.51</v>
      </c>
      <c r="P291" s="3">
        <v>28.19</v>
      </c>
      <c r="Q291" s="2" t="s">
        <v>0</v>
      </c>
      <c r="R291" s="1">
        <v>0</v>
      </c>
      <c r="S291" s="1">
        <v>13606.15</v>
      </c>
    </row>
    <row r="292" spans="1:19" ht="18" customHeight="1" x14ac:dyDescent="0.3">
      <c r="A292" s="9" t="s">
        <v>158</v>
      </c>
      <c r="B292" s="7" t="s">
        <v>24</v>
      </c>
      <c r="C292" s="7" t="s">
        <v>9</v>
      </c>
      <c r="D292" s="7" t="s">
        <v>22</v>
      </c>
      <c r="E292" s="7" t="s">
        <v>7</v>
      </c>
      <c r="F292" s="7" t="s">
        <v>1</v>
      </c>
      <c r="G292" s="9">
        <v>441</v>
      </c>
      <c r="H292" s="6">
        <v>1617.99</v>
      </c>
      <c r="I292" s="6">
        <v>1759.81</v>
      </c>
      <c r="J292" s="10">
        <v>44753</v>
      </c>
      <c r="K292" s="10">
        <v>45196</v>
      </c>
      <c r="L292" s="9">
        <v>443</v>
      </c>
      <c r="M292" s="6">
        <v>713533.59</v>
      </c>
      <c r="N292" s="6">
        <v>776076.21</v>
      </c>
      <c r="O292" s="6">
        <v>62542.62</v>
      </c>
      <c r="P292" s="8">
        <v>8.77</v>
      </c>
      <c r="Q292" s="7" t="s">
        <v>0</v>
      </c>
      <c r="R292" s="6">
        <v>0</v>
      </c>
      <c r="S292" s="6">
        <v>0</v>
      </c>
    </row>
    <row r="293" spans="1:19" ht="18" customHeight="1" x14ac:dyDescent="0.3">
      <c r="A293" s="4" t="s">
        <v>157</v>
      </c>
      <c r="B293" s="2" t="s">
        <v>20</v>
      </c>
      <c r="C293" s="2" t="s">
        <v>4</v>
      </c>
      <c r="D293" s="2" t="s">
        <v>18</v>
      </c>
      <c r="E293" s="2" t="s">
        <v>17</v>
      </c>
      <c r="F293" s="2" t="s">
        <v>1</v>
      </c>
      <c r="G293" s="4">
        <v>115</v>
      </c>
      <c r="H293" s="1">
        <v>116.53</v>
      </c>
      <c r="I293" s="1">
        <v>134.78</v>
      </c>
      <c r="J293" s="5">
        <v>44715</v>
      </c>
      <c r="K293" s="5">
        <v>45050</v>
      </c>
      <c r="L293" s="4">
        <v>335</v>
      </c>
      <c r="M293" s="1">
        <v>13400.95</v>
      </c>
      <c r="N293" s="1">
        <v>15499.7</v>
      </c>
      <c r="O293" s="1">
        <v>2098.75</v>
      </c>
      <c r="P293" s="3">
        <v>15.66</v>
      </c>
      <c r="Q293" s="2" t="s">
        <v>26</v>
      </c>
      <c r="R293" s="1">
        <v>314.81</v>
      </c>
      <c r="S293" s="1">
        <v>0</v>
      </c>
    </row>
    <row r="294" spans="1:19" ht="18" customHeight="1" x14ac:dyDescent="0.3">
      <c r="A294" s="9" t="s">
        <v>156</v>
      </c>
      <c r="B294" s="7" t="s">
        <v>15</v>
      </c>
      <c r="C294" s="7" t="s">
        <v>29</v>
      </c>
      <c r="D294" s="7" t="s">
        <v>13</v>
      </c>
      <c r="E294" s="7" t="s">
        <v>12</v>
      </c>
      <c r="F294" s="7" t="s">
        <v>1</v>
      </c>
      <c r="G294" s="9">
        <v>200</v>
      </c>
      <c r="H294" s="6">
        <v>3100.71</v>
      </c>
      <c r="I294" s="6">
        <v>4623.2700000000004</v>
      </c>
      <c r="J294" s="10">
        <v>44335</v>
      </c>
      <c r="K294" s="10">
        <v>45150</v>
      </c>
      <c r="L294" s="9">
        <v>815</v>
      </c>
      <c r="M294" s="6">
        <v>620142</v>
      </c>
      <c r="N294" s="6">
        <v>924654</v>
      </c>
      <c r="O294" s="6">
        <v>304512</v>
      </c>
      <c r="P294" s="8">
        <v>49.1</v>
      </c>
      <c r="Q294" s="7" t="s">
        <v>0</v>
      </c>
      <c r="R294" s="6">
        <v>0</v>
      </c>
      <c r="S294" s="6">
        <v>20451.2</v>
      </c>
    </row>
    <row r="295" spans="1:19" ht="18" customHeight="1" x14ac:dyDescent="0.3">
      <c r="A295" s="4" t="s">
        <v>155</v>
      </c>
      <c r="B295" s="2" t="s">
        <v>10</v>
      </c>
      <c r="C295" s="2" t="s">
        <v>23</v>
      </c>
      <c r="D295" s="2" t="s">
        <v>8</v>
      </c>
      <c r="E295" s="2" t="s">
        <v>7</v>
      </c>
      <c r="F295" s="2" t="s">
        <v>1</v>
      </c>
      <c r="G295" s="4">
        <v>394</v>
      </c>
      <c r="H295" s="1">
        <v>2804.46</v>
      </c>
      <c r="I295" s="1">
        <v>2104.81</v>
      </c>
      <c r="J295" s="5">
        <v>44582</v>
      </c>
      <c r="K295" s="5">
        <v>45252</v>
      </c>
      <c r="L295" s="4">
        <v>670</v>
      </c>
      <c r="M295" s="1">
        <v>1104957.24</v>
      </c>
      <c r="N295" s="1">
        <v>829295.14</v>
      </c>
      <c r="O295" s="1">
        <v>-275662.09999999998</v>
      </c>
      <c r="P295" s="3">
        <v>-24.95</v>
      </c>
      <c r="Q295" s="2" t="s">
        <v>0</v>
      </c>
      <c r="R295" s="1">
        <v>0</v>
      </c>
      <c r="S295" s="1">
        <v>0</v>
      </c>
    </row>
    <row r="296" spans="1:19" ht="18" customHeight="1" x14ac:dyDescent="0.3">
      <c r="A296" s="9" t="s">
        <v>154</v>
      </c>
      <c r="B296" s="7" t="s">
        <v>5</v>
      </c>
      <c r="C296" s="7" t="s">
        <v>19</v>
      </c>
      <c r="D296" s="7" t="s">
        <v>3</v>
      </c>
      <c r="E296" s="7" t="s">
        <v>2</v>
      </c>
      <c r="F296" s="7" t="s">
        <v>1</v>
      </c>
      <c r="G296" s="9">
        <v>351</v>
      </c>
      <c r="H296" s="6">
        <v>1661.62</v>
      </c>
      <c r="I296" s="6">
        <v>2072.13</v>
      </c>
      <c r="J296" s="10">
        <v>44894</v>
      </c>
      <c r="K296" s="10">
        <v>44902</v>
      </c>
      <c r="L296" s="9">
        <v>8</v>
      </c>
      <c r="M296" s="6">
        <v>583228.62</v>
      </c>
      <c r="N296" s="6">
        <v>727317.63</v>
      </c>
      <c r="O296" s="6">
        <v>144089.01</v>
      </c>
      <c r="P296" s="8">
        <v>24.71</v>
      </c>
      <c r="Q296" s="7" t="s">
        <v>26</v>
      </c>
      <c r="R296" s="6">
        <v>21613.35</v>
      </c>
      <c r="S296" s="6">
        <v>0</v>
      </c>
    </row>
    <row r="297" spans="1:19" ht="18" customHeight="1" x14ac:dyDescent="0.3">
      <c r="A297" s="4" t="s">
        <v>153</v>
      </c>
      <c r="B297" s="2" t="s">
        <v>62</v>
      </c>
      <c r="C297" s="2" t="s">
        <v>14</v>
      </c>
      <c r="D297" s="2" t="s">
        <v>61</v>
      </c>
      <c r="E297" s="2" t="s">
        <v>60</v>
      </c>
      <c r="F297" s="2" t="s">
        <v>1</v>
      </c>
      <c r="G297" s="4">
        <v>387</v>
      </c>
      <c r="H297" s="1">
        <v>1343.71</v>
      </c>
      <c r="I297" s="1">
        <v>960.32</v>
      </c>
      <c r="J297" s="5">
        <v>44546</v>
      </c>
      <c r="K297" s="5">
        <v>45189</v>
      </c>
      <c r="L297" s="4">
        <v>643</v>
      </c>
      <c r="M297" s="1">
        <v>520015.77</v>
      </c>
      <c r="N297" s="1">
        <v>371643.84</v>
      </c>
      <c r="O297" s="1">
        <v>-148371.93</v>
      </c>
      <c r="P297" s="3">
        <v>-28.53</v>
      </c>
      <c r="Q297" s="2" t="s">
        <v>0</v>
      </c>
      <c r="R297" s="1">
        <v>0</v>
      </c>
      <c r="S297" s="1">
        <v>0</v>
      </c>
    </row>
    <row r="298" spans="1:19" ht="18" customHeight="1" x14ac:dyDescent="0.3">
      <c r="A298" s="9" t="s">
        <v>152</v>
      </c>
      <c r="B298" s="7" t="s">
        <v>58</v>
      </c>
      <c r="C298" s="7" t="s">
        <v>9</v>
      </c>
      <c r="D298" s="7" t="s">
        <v>57</v>
      </c>
      <c r="E298" s="7" t="s">
        <v>56</v>
      </c>
      <c r="F298" s="7" t="s">
        <v>1</v>
      </c>
      <c r="G298" s="9">
        <v>322</v>
      </c>
      <c r="H298" s="6">
        <v>170.08</v>
      </c>
      <c r="I298" s="6">
        <v>239.3</v>
      </c>
      <c r="J298" s="10">
        <v>44298</v>
      </c>
      <c r="K298" s="10">
        <v>44659</v>
      </c>
      <c r="L298" s="9">
        <v>361</v>
      </c>
      <c r="M298" s="6">
        <v>54765.760000000002</v>
      </c>
      <c r="N298" s="6">
        <v>77054.600000000006</v>
      </c>
      <c r="O298" s="6">
        <v>22288.84</v>
      </c>
      <c r="P298" s="8">
        <v>40.700000000000003</v>
      </c>
      <c r="Q298" s="7" t="s">
        <v>26</v>
      </c>
      <c r="R298" s="6">
        <v>3343.33</v>
      </c>
      <c r="S298" s="6">
        <v>0</v>
      </c>
    </row>
    <row r="299" spans="1:19" ht="18" customHeight="1" x14ac:dyDescent="0.3">
      <c r="A299" s="4" t="s">
        <v>151</v>
      </c>
      <c r="B299" s="2" t="s">
        <v>54</v>
      </c>
      <c r="C299" s="2" t="s">
        <v>4</v>
      </c>
      <c r="D299" s="2" t="s">
        <v>53</v>
      </c>
      <c r="E299" s="2" t="s">
        <v>52</v>
      </c>
      <c r="F299" s="2" t="s">
        <v>1</v>
      </c>
      <c r="G299" s="4">
        <v>484</v>
      </c>
      <c r="H299" s="1">
        <v>2629.91</v>
      </c>
      <c r="I299" s="1">
        <v>1905.95</v>
      </c>
      <c r="J299" s="5">
        <v>44375</v>
      </c>
      <c r="K299" s="5">
        <v>44981</v>
      </c>
      <c r="L299" s="4">
        <v>606</v>
      </c>
      <c r="M299" s="1">
        <v>1272876.44</v>
      </c>
      <c r="N299" s="1">
        <v>922479.8</v>
      </c>
      <c r="O299" s="1">
        <v>-350396.64</v>
      </c>
      <c r="P299" s="3">
        <v>-27.53</v>
      </c>
      <c r="Q299" s="2" t="s">
        <v>0</v>
      </c>
      <c r="R299" s="1">
        <v>0</v>
      </c>
      <c r="S299" s="1">
        <v>0</v>
      </c>
    </row>
    <row r="300" spans="1:19" ht="18" customHeight="1" x14ac:dyDescent="0.3">
      <c r="A300" s="9" t="s">
        <v>150</v>
      </c>
      <c r="B300" s="7" t="s">
        <v>50</v>
      </c>
      <c r="C300" s="7" t="s">
        <v>29</v>
      </c>
      <c r="D300" s="7" t="s">
        <v>49</v>
      </c>
      <c r="E300" s="7" t="s">
        <v>48</v>
      </c>
      <c r="F300" s="7" t="s">
        <v>1</v>
      </c>
      <c r="G300" s="9">
        <v>410</v>
      </c>
      <c r="H300" s="6">
        <v>3161.28</v>
      </c>
      <c r="I300" s="6">
        <v>4636.5600000000004</v>
      </c>
      <c r="J300" s="10">
        <v>44308</v>
      </c>
      <c r="K300" s="10">
        <v>44652</v>
      </c>
      <c r="L300" s="9">
        <v>344</v>
      </c>
      <c r="M300" s="6">
        <v>1296124.8</v>
      </c>
      <c r="N300" s="6">
        <v>1900989.6</v>
      </c>
      <c r="O300" s="6">
        <v>604864.80000000005</v>
      </c>
      <c r="P300" s="8">
        <v>46.67</v>
      </c>
      <c r="Q300" s="7" t="s">
        <v>26</v>
      </c>
      <c r="R300" s="6">
        <v>90729.72</v>
      </c>
      <c r="S300" s="6">
        <v>0</v>
      </c>
    </row>
    <row r="301" spans="1:19" ht="18" customHeight="1" x14ac:dyDescent="0.3">
      <c r="A301" s="4" t="s">
        <v>149</v>
      </c>
      <c r="B301" s="2" t="s">
        <v>46</v>
      </c>
      <c r="C301" s="2" t="s">
        <v>23</v>
      </c>
      <c r="D301" s="2" t="s">
        <v>45</v>
      </c>
      <c r="E301" s="2" t="s">
        <v>44</v>
      </c>
      <c r="F301" s="2" t="s">
        <v>1</v>
      </c>
      <c r="G301" s="4">
        <v>408</v>
      </c>
      <c r="H301" s="1">
        <v>2097.5100000000002</v>
      </c>
      <c r="I301" s="1">
        <v>1706.94</v>
      </c>
      <c r="J301" s="5">
        <v>44692</v>
      </c>
      <c r="K301" s="5">
        <v>45357</v>
      </c>
      <c r="L301" s="4">
        <v>665</v>
      </c>
      <c r="M301" s="1">
        <v>855784.08</v>
      </c>
      <c r="N301" s="1">
        <v>696431.52</v>
      </c>
      <c r="O301" s="1">
        <v>-159352.56</v>
      </c>
      <c r="P301" s="3">
        <v>-18.62</v>
      </c>
      <c r="Q301" s="2" t="s">
        <v>0</v>
      </c>
      <c r="R301" s="1">
        <v>0</v>
      </c>
      <c r="S301" s="1">
        <v>0</v>
      </c>
    </row>
    <row r="302" spans="1:19" ht="18" customHeight="1" x14ac:dyDescent="0.3">
      <c r="A302" s="9" t="s">
        <v>148</v>
      </c>
      <c r="B302" s="7" t="s">
        <v>42</v>
      </c>
      <c r="C302" s="7" t="s">
        <v>19</v>
      </c>
      <c r="D302" s="7" t="s">
        <v>41</v>
      </c>
      <c r="E302" s="7" t="s">
        <v>12</v>
      </c>
      <c r="F302" s="7" t="s">
        <v>1</v>
      </c>
      <c r="G302" s="9">
        <v>342</v>
      </c>
      <c r="H302" s="6">
        <v>3311.85</v>
      </c>
      <c r="I302" s="6">
        <v>2911.22</v>
      </c>
      <c r="J302" s="10">
        <v>44476</v>
      </c>
      <c r="K302" s="10">
        <v>45119</v>
      </c>
      <c r="L302" s="9">
        <v>643</v>
      </c>
      <c r="M302" s="6">
        <v>1132652.7</v>
      </c>
      <c r="N302" s="6">
        <v>995637.24</v>
      </c>
      <c r="O302" s="6">
        <v>-137015.46</v>
      </c>
      <c r="P302" s="8">
        <v>-12.1</v>
      </c>
      <c r="Q302" s="7" t="s">
        <v>0</v>
      </c>
      <c r="R302" s="6">
        <v>0</v>
      </c>
      <c r="S302" s="6">
        <v>0</v>
      </c>
    </row>
    <row r="303" spans="1:19" ht="18" customHeight="1" x14ac:dyDescent="0.3">
      <c r="A303" s="4" t="s">
        <v>147</v>
      </c>
      <c r="B303" s="2" t="s">
        <v>39</v>
      </c>
      <c r="C303" s="2" t="s">
        <v>14</v>
      </c>
      <c r="D303" s="2" t="s">
        <v>38</v>
      </c>
      <c r="E303" s="2" t="s">
        <v>7</v>
      </c>
      <c r="F303" s="2" t="s">
        <v>1</v>
      </c>
      <c r="G303" s="4">
        <v>110</v>
      </c>
      <c r="H303" s="1">
        <v>3225.66</v>
      </c>
      <c r="I303" s="1">
        <v>4257.9799999999996</v>
      </c>
      <c r="J303" s="5">
        <v>45020</v>
      </c>
      <c r="K303" s="5">
        <v>45233</v>
      </c>
      <c r="L303" s="4">
        <v>213</v>
      </c>
      <c r="M303" s="1">
        <v>354822.6</v>
      </c>
      <c r="N303" s="1">
        <v>468377.8</v>
      </c>
      <c r="O303" s="1">
        <v>113555.2</v>
      </c>
      <c r="P303" s="3">
        <v>32</v>
      </c>
      <c r="Q303" s="2" t="s">
        <v>26</v>
      </c>
      <c r="R303" s="1">
        <v>17033.28</v>
      </c>
      <c r="S303" s="1">
        <v>0</v>
      </c>
    </row>
    <row r="304" spans="1:19" ht="18" customHeight="1" x14ac:dyDescent="0.3">
      <c r="A304" s="9" t="s">
        <v>146</v>
      </c>
      <c r="B304" s="7" t="s">
        <v>36</v>
      </c>
      <c r="C304" s="7" t="s">
        <v>9</v>
      </c>
      <c r="D304" s="7" t="s">
        <v>35</v>
      </c>
      <c r="E304" s="7" t="s">
        <v>12</v>
      </c>
      <c r="F304" s="7" t="s">
        <v>1</v>
      </c>
      <c r="G304" s="9">
        <v>111</v>
      </c>
      <c r="H304" s="6">
        <v>1098.82</v>
      </c>
      <c r="I304" s="6">
        <v>1407.7</v>
      </c>
      <c r="J304" s="10">
        <v>44959</v>
      </c>
      <c r="K304" s="10">
        <v>45763</v>
      </c>
      <c r="L304" s="9">
        <v>804</v>
      </c>
      <c r="M304" s="6">
        <v>121969.02</v>
      </c>
      <c r="N304" s="6">
        <v>156254.70000000001</v>
      </c>
      <c r="O304" s="6">
        <v>34285.68</v>
      </c>
      <c r="P304" s="8">
        <v>28.11</v>
      </c>
      <c r="Q304" s="7" t="s">
        <v>0</v>
      </c>
      <c r="R304" s="6">
        <v>0</v>
      </c>
      <c r="S304" s="6">
        <v>0</v>
      </c>
    </row>
    <row r="305" spans="1:19" ht="18" customHeight="1" x14ac:dyDescent="0.3">
      <c r="A305" s="4" t="s">
        <v>145</v>
      </c>
      <c r="B305" s="2" t="s">
        <v>33</v>
      </c>
      <c r="C305" s="2" t="s">
        <v>4</v>
      </c>
      <c r="D305" s="2" t="s">
        <v>32</v>
      </c>
      <c r="E305" s="2" t="s">
        <v>7</v>
      </c>
      <c r="F305" s="2" t="s">
        <v>1</v>
      </c>
      <c r="G305" s="4">
        <v>360</v>
      </c>
      <c r="H305" s="1">
        <v>2797.59</v>
      </c>
      <c r="I305" s="1">
        <v>2635.94</v>
      </c>
      <c r="J305" s="5">
        <v>44545</v>
      </c>
      <c r="K305" s="5">
        <v>44735</v>
      </c>
      <c r="L305" s="4">
        <v>190</v>
      </c>
      <c r="M305" s="1">
        <v>1007132.4</v>
      </c>
      <c r="N305" s="1">
        <v>948938.4</v>
      </c>
      <c r="O305" s="1">
        <v>-58194</v>
      </c>
      <c r="P305" s="3">
        <v>-5.78</v>
      </c>
      <c r="Q305" s="2" t="s">
        <v>26</v>
      </c>
      <c r="R305" s="1">
        <v>0</v>
      </c>
      <c r="S305" s="1">
        <v>0</v>
      </c>
    </row>
    <row r="306" spans="1:19" ht="18" customHeight="1" x14ac:dyDescent="0.3">
      <c r="A306" s="9" t="s">
        <v>144</v>
      </c>
      <c r="B306" s="7" t="s">
        <v>30</v>
      </c>
      <c r="C306" s="7" t="s">
        <v>29</v>
      </c>
      <c r="D306" s="7" t="s">
        <v>28</v>
      </c>
      <c r="E306" s="7" t="s">
        <v>27</v>
      </c>
      <c r="F306" s="7" t="s">
        <v>1</v>
      </c>
      <c r="G306" s="9">
        <v>413</v>
      </c>
      <c r="H306" s="6">
        <v>3418.43</v>
      </c>
      <c r="I306" s="6">
        <v>4682.93</v>
      </c>
      <c r="J306" s="10">
        <v>44528</v>
      </c>
      <c r="K306" s="10">
        <v>44885</v>
      </c>
      <c r="L306" s="9">
        <v>357</v>
      </c>
      <c r="M306" s="6">
        <v>1411811.59</v>
      </c>
      <c r="N306" s="6">
        <v>1934050.09</v>
      </c>
      <c r="O306" s="6">
        <v>522238.5</v>
      </c>
      <c r="P306" s="8">
        <v>36.99</v>
      </c>
      <c r="Q306" s="7" t="s">
        <v>26</v>
      </c>
      <c r="R306" s="6">
        <v>78335.77</v>
      </c>
      <c r="S306" s="6">
        <v>0</v>
      </c>
    </row>
    <row r="307" spans="1:19" ht="18" customHeight="1" x14ac:dyDescent="0.3">
      <c r="A307" s="4" t="s">
        <v>143</v>
      </c>
      <c r="B307" s="2" t="s">
        <v>24</v>
      </c>
      <c r="C307" s="2" t="s">
        <v>23</v>
      </c>
      <c r="D307" s="2" t="s">
        <v>22</v>
      </c>
      <c r="E307" s="2" t="s">
        <v>7</v>
      </c>
      <c r="F307" s="2" t="s">
        <v>1</v>
      </c>
      <c r="G307" s="4">
        <v>127</v>
      </c>
      <c r="H307" s="1">
        <v>2172.83</v>
      </c>
      <c r="I307" s="1">
        <v>3126.97</v>
      </c>
      <c r="J307" s="5">
        <v>44399</v>
      </c>
      <c r="K307" s="5">
        <v>45127</v>
      </c>
      <c r="L307" s="4">
        <v>728</v>
      </c>
      <c r="M307" s="1">
        <v>275949.40999999997</v>
      </c>
      <c r="N307" s="1">
        <v>397125.19</v>
      </c>
      <c r="O307" s="1">
        <v>121175.78</v>
      </c>
      <c r="P307" s="3">
        <v>43.91</v>
      </c>
      <c r="Q307" s="2" t="s">
        <v>0</v>
      </c>
      <c r="R307" s="1">
        <v>0</v>
      </c>
      <c r="S307" s="1">
        <v>2117.58</v>
      </c>
    </row>
    <row r="308" spans="1:19" ht="18" customHeight="1" x14ac:dyDescent="0.3">
      <c r="A308" s="9" t="s">
        <v>142</v>
      </c>
      <c r="B308" s="7" t="s">
        <v>20</v>
      </c>
      <c r="C308" s="7" t="s">
        <v>19</v>
      </c>
      <c r="D308" s="7" t="s">
        <v>18</v>
      </c>
      <c r="E308" s="7" t="s">
        <v>17</v>
      </c>
      <c r="F308" s="7" t="s">
        <v>1</v>
      </c>
      <c r="G308" s="9">
        <v>171</v>
      </c>
      <c r="H308" s="6">
        <v>2911.28</v>
      </c>
      <c r="I308" s="6">
        <v>3791.21</v>
      </c>
      <c r="J308" s="10">
        <v>45005</v>
      </c>
      <c r="K308" s="10">
        <v>45590</v>
      </c>
      <c r="L308" s="9">
        <v>585</v>
      </c>
      <c r="M308" s="6">
        <v>497828.88</v>
      </c>
      <c r="N308" s="6">
        <v>648296.91</v>
      </c>
      <c r="O308" s="6">
        <v>150468.03</v>
      </c>
      <c r="P308" s="8">
        <v>30.22</v>
      </c>
      <c r="Q308" s="7" t="s">
        <v>0</v>
      </c>
      <c r="R308" s="6">
        <v>0</v>
      </c>
      <c r="S308" s="6">
        <v>5046.8</v>
      </c>
    </row>
    <row r="309" spans="1:19" ht="18" customHeight="1" x14ac:dyDescent="0.3">
      <c r="A309" s="4" t="s">
        <v>141</v>
      </c>
      <c r="B309" s="2" t="s">
        <v>15</v>
      </c>
      <c r="C309" s="2" t="s">
        <v>14</v>
      </c>
      <c r="D309" s="2" t="s">
        <v>13</v>
      </c>
      <c r="E309" s="2" t="s">
        <v>12</v>
      </c>
      <c r="F309" s="2" t="s">
        <v>1</v>
      </c>
      <c r="G309" s="4">
        <v>132</v>
      </c>
      <c r="H309" s="1">
        <v>426.39</v>
      </c>
      <c r="I309" s="1">
        <v>320.94</v>
      </c>
      <c r="J309" s="5">
        <v>44650</v>
      </c>
      <c r="K309" s="5">
        <v>44995</v>
      </c>
      <c r="L309" s="4">
        <v>345</v>
      </c>
      <c r="M309" s="1">
        <v>56283.48</v>
      </c>
      <c r="N309" s="1">
        <v>42364.08</v>
      </c>
      <c r="O309" s="1">
        <v>-13919.4</v>
      </c>
      <c r="P309" s="3">
        <v>-24.73</v>
      </c>
      <c r="Q309" s="2" t="s">
        <v>26</v>
      </c>
      <c r="R309" s="1">
        <v>0</v>
      </c>
      <c r="S309" s="1">
        <v>0</v>
      </c>
    </row>
    <row r="310" spans="1:19" ht="18" customHeight="1" x14ac:dyDescent="0.3">
      <c r="A310" s="9" t="s">
        <v>140</v>
      </c>
      <c r="B310" s="7" t="s">
        <v>10</v>
      </c>
      <c r="C310" s="7" t="s">
        <v>9</v>
      </c>
      <c r="D310" s="7" t="s">
        <v>8</v>
      </c>
      <c r="E310" s="7" t="s">
        <v>7</v>
      </c>
      <c r="F310" s="7" t="s">
        <v>1</v>
      </c>
      <c r="G310" s="9">
        <v>317</v>
      </c>
      <c r="H310" s="6">
        <v>492.51</v>
      </c>
      <c r="I310" s="6">
        <v>685.86</v>
      </c>
      <c r="J310" s="10">
        <v>44958</v>
      </c>
      <c r="K310" s="10">
        <v>45375</v>
      </c>
      <c r="L310" s="9">
        <v>417</v>
      </c>
      <c r="M310" s="6">
        <v>156125.67000000001</v>
      </c>
      <c r="N310" s="6">
        <v>217417.62</v>
      </c>
      <c r="O310" s="6">
        <v>61291.95</v>
      </c>
      <c r="P310" s="8">
        <v>39.26</v>
      </c>
      <c r="Q310" s="7" t="s">
        <v>0</v>
      </c>
      <c r="R310" s="6">
        <v>0</v>
      </c>
      <c r="S310" s="6">
        <v>0</v>
      </c>
    </row>
    <row r="311" spans="1:19" ht="18" customHeight="1" x14ac:dyDescent="0.3">
      <c r="A311" s="4" t="s">
        <v>139</v>
      </c>
      <c r="B311" s="2" t="s">
        <v>5</v>
      </c>
      <c r="C311" s="2" t="s">
        <v>4</v>
      </c>
      <c r="D311" s="2" t="s">
        <v>3</v>
      </c>
      <c r="E311" s="2" t="s">
        <v>2</v>
      </c>
      <c r="F311" s="2" t="s">
        <v>1</v>
      </c>
      <c r="G311" s="4">
        <v>160</v>
      </c>
      <c r="H311" s="1">
        <v>2886.7</v>
      </c>
      <c r="I311" s="1">
        <v>2843.56</v>
      </c>
      <c r="J311" s="5">
        <v>44535</v>
      </c>
      <c r="K311" s="5">
        <v>45266</v>
      </c>
      <c r="L311" s="4">
        <v>731</v>
      </c>
      <c r="M311" s="1">
        <v>461872</v>
      </c>
      <c r="N311" s="1">
        <v>454969.59999999998</v>
      </c>
      <c r="O311" s="1">
        <v>-6902.4</v>
      </c>
      <c r="P311" s="3">
        <v>-1.49</v>
      </c>
      <c r="Q311" s="2" t="s">
        <v>0</v>
      </c>
      <c r="R311" s="1">
        <v>0</v>
      </c>
      <c r="S311" s="1">
        <v>0</v>
      </c>
    </row>
    <row r="312" spans="1:19" ht="18" customHeight="1" x14ac:dyDescent="0.3">
      <c r="A312" s="9" t="s">
        <v>138</v>
      </c>
      <c r="B312" s="7" t="s">
        <v>62</v>
      </c>
      <c r="C312" s="7" t="s">
        <v>29</v>
      </c>
      <c r="D312" s="7" t="s">
        <v>61</v>
      </c>
      <c r="E312" s="7" t="s">
        <v>60</v>
      </c>
      <c r="F312" s="7" t="s">
        <v>1</v>
      </c>
      <c r="G312" s="9">
        <v>400</v>
      </c>
      <c r="H312" s="6">
        <v>863.6</v>
      </c>
      <c r="I312" s="6">
        <v>1168.6400000000001</v>
      </c>
      <c r="J312" s="10">
        <v>44611</v>
      </c>
      <c r="K312" s="10">
        <v>44770</v>
      </c>
      <c r="L312" s="9">
        <v>159</v>
      </c>
      <c r="M312" s="6">
        <v>345440</v>
      </c>
      <c r="N312" s="6">
        <v>467456</v>
      </c>
      <c r="O312" s="6">
        <v>122016</v>
      </c>
      <c r="P312" s="8">
        <v>35.32</v>
      </c>
      <c r="Q312" s="7" t="s">
        <v>26</v>
      </c>
      <c r="R312" s="6">
        <v>18302.400000000001</v>
      </c>
      <c r="S312" s="6">
        <v>0</v>
      </c>
    </row>
    <row r="313" spans="1:19" ht="18" customHeight="1" x14ac:dyDescent="0.3">
      <c r="A313" s="4" t="s">
        <v>137</v>
      </c>
      <c r="B313" s="2" t="s">
        <v>58</v>
      </c>
      <c r="C313" s="2" t="s">
        <v>23</v>
      </c>
      <c r="D313" s="2" t="s">
        <v>57</v>
      </c>
      <c r="E313" s="2" t="s">
        <v>56</v>
      </c>
      <c r="F313" s="2" t="s">
        <v>1</v>
      </c>
      <c r="G313" s="4">
        <v>10</v>
      </c>
      <c r="H313" s="1">
        <v>2128.66</v>
      </c>
      <c r="I313" s="1">
        <v>2442.5500000000002</v>
      </c>
      <c r="J313" s="5">
        <v>44540</v>
      </c>
      <c r="K313" s="5">
        <v>45212</v>
      </c>
      <c r="L313" s="4">
        <v>672</v>
      </c>
      <c r="M313" s="1">
        <v>21286.6</v>
      </c>
      <c r="N313" s="1">
        <v>24425.5</v>
      </c>
      <c r="O313" s="1">
        <v>3138.9</v>
      </c>
      <c r="P313" s="3">
        <v>14.75</v>
      </c>
      <c r="Q313" s="2" t="s">
        <v>0</v>
      </c>
      <c r="R313" s="1">
        <v>0</v>
      </c>
      <c r="S313" s="1">
        <v>0</v>
      </c>
    </row>
    <row r="314" spans="1:19" ht="18" customHeight="1" x14ac:dyDescent="0.3">
      <c r="A314" s="9" t="s">
        <v>136</v>
      </c>
      <c r="B314" s="7" t="s">
        <v>54</v>
      </c>
      <c r="C314" s="7" t="s">
        <v>19</v>
      </c>
      <c r="D314" s="7" t="s">
        <v>53</v>
      </c>
      <c r="E314" s="7" t="s">
        <v>52</v>
      </c>
      <c r="F314" s="7" t="s">
        <v>1</v>
      </c>
      <c r="G314" s="9">
        <v>430</v>
      </c>
      <c r="H314" s="6">
        <v>309.83</v>
      </c>
      <c r="I314" s="6">
        <v>416.33</v>
      </c>
      <c r="J314" s="10">
        <v>44368</v>
      </c>
      <c r="K314" s="10">
        <v>45011</v>
      </c>
      <c r="L314" s="9">
        <v>643</v>
      </c>
      <c r="M314" s="6">
        <v>133226.9</v>
      </c>
      <c r="N314" s="6">
        <v>179021.9</v>
      </c>
      <c r="O314" s="6">
        <v>45795</v>
      </c>
      <c r="P314" s="8">
        <v>34.369999999999997</v>
      </c>
      <c r="Q314" s="7" t="s">
        <v>0</v>
      </c>
      <c r="R314" s="6">
        <v>0</v>
      </c>
      <c r="S314" s="6">
        <v>0</v>
      </c>
    </row>
    <row r="315" spans="1:19" ht="18" customHeight="1" x14ac:dyDescent="0.3">
      <c r="A315" s="4" t="s">
        <v>135</v>
      </c>
      <c r="B315" s="2" t="s">
        <v>50</v>
      </c>
      <c r="C315" s="2" t="s">
        <v>14</v>
      </c>
      <c r="D315" s="2" t="s">
        <v>49</v>
      </c>
      <c r="E315" s="2" t="s">
        <v>48</v>
      </c>
      <c r="F315" s="2" t="s">
        <v>1</v>
      </c>
      <c r="G315" s="4">
        <v>315</v>
      </c>
      <c r="H315" s="1">
        <v>1858.52</v>
      </c>
      <c r="I315" s="1">
        <v>2857.39</v>
      </c>
      <c r="J315" s="5">
        <v>44262</v>
      </c>
      <c r="K315" s="5">
        <v>44977</v>
      </c>
      <c r="L315" s="4">
        <v>715</v>
      </c>
      <c r="M315" s="1">
        <v>585433.80000000005</v>
      </c>
      <c r="N315" s="1">
        <v>900077.85</v>
      </c>
      <c r="O315" s="1">
        <v>314644.05</v>
      </c>
      <c r="P315" s="3">
        <v>53.75</v>
      </c>
      <c r="Q315" s="2" t="s">
        <v>0</v>
      </c>
      <c r="R315" s="1">
        <v>0</v>
      </c>
      <c r="S315" s="1">
        <v>21464.400000000001</v>
      </c>
    </row>
    <row r="316" spans="1:19" ht="18" customHeight="1" x14ac:dyDescent="0.3">
      <c r="A316" s="9" t="s">
        <v>134</v>
      </c>
      <c r="B316" s="7" t="s">
        <v>46</v>
      </c>
      <c r="C316" s="7" t="s">
        <v>9</v>
      </c>
      <c r="D316" s="7" t="s">
        <v>45</v>
      </c>
      <c r="E316" s="7" t="s">
        <v>44</v>
      </c>
      <c r="F316" s="7" t="s">
        <v>1</v>
      </c>
      <c r="G316" s="9">
        <v>258</v>
      </c>
      <c r="H316" s="6">
        <v>2681.29</v>
      </c>
      <c r="I316" s="6">
        <v>3119.51</v>
      </c>
      <c r="J316" s="10">
        <v>45025</v>
      </c>
      <c r="K316" s="10">
        <v>45253</v>
      </c>
      <c r="L316" s="9">
        <v>228</v>
      </c>
      <c r="M316" s="6">
        <v>691772.82</v>
      </c>
      <c r="N316" s="6">
        <v>804833.58</v>
      </c>
      <c r="O316" s="6">
        <v>113060.76</v>
      </c>
      <c r="P316" s="8">
        <v>16.34</v>
      </c>
      <c r="Q316" s="7" t="s">
        <v>26</v>
      </c>
      <c r="R316" s="6">
        <v>16959.11</v>
      </c>
      <c r="S316" s="6">
        <v>0</v>
      </c>
    </row>
    <row r="317" spans="1:19" ht="18" customHeight="1" x14ac:dyDescent="0.3">
      <c r="A317" s="4" t="s">
        <v>133</v>
      </c>
      <c r="B317" s="2" t="s">
        <v>42</v>
      </c>
      <c r="C317" s="2" t="s">
        <v>4</v>
      </c>
      <c r="D317" s="2" t="s">
        <v>41</v>
      </c>
      <c r="E317" s="2" t="s">
        <v>12</v>
      </c>
      <c r="F317" s="2" t="s">
        <v>1</v>
      </c>
      <c r="G317" s="4">
        <v>116</v>
      </c>
      <c r="H317" s="1">
        <v>968.61</v>
      </c>
      <c r="I317" s="1">
        <v>1410.27</v>
      </c>
      <c r="J317" s="5">
        <v>45014</v>
      </c>
      <c r="K317" s="5">
        <v>45036</v>
      </c>
      <c r="L317" s="4">
        <v>22</v>
      </c>
      <c r="M317" s="1">
        <v>112358.76</v>
      </c>
      <c r="N317" s="1">
        <v>163591.32</v>
      </c>
      <c r="O317" s="1">
        <v>51232.56</v>
      </c>
      <c r="P317" s="3">
        <v>45.6</v>
      </c>
      <c r="Q317" s="2" t="s">
        <v>26</v>
      </c>
      <c r="R317" s="1">
        <v>7684.88</v>
      </c>
      <c r="S317" s="1">
        <v>0</v>
      </c>
    </row>
    <row r="318" spans="1:19" ht="18" customHeight="1" x14ac:dyDescent="0.3">
      <c r="A318" s="9" t="s">
        <v>132</v>
      </c>
      <c r="B318" s="7" t="s">
        <v>39</v>
      </c>
      <c r="C318" s="7" t="s">
        <v>29</v>
      </c>
      <c r="D318" s="7" t="s">
        <v>38</v>
      </c>
      <c r="E318" s="7" t="s">
        <v>7</v>
      </c>
      <c r="F318" s="7" t="s">
        <v>1</v>
      </c>
      <c r="G318" s="9">
        <v>248</v>
      </c>
      <c r="H318" s="6">
        <v>1602.29</v>
      </c>
      <c r="I318" s="6">
        <v>1195.99</v>
      </c>
      <c r="J318" s="10">
        <v>44852</v>
      </c>
      <c r="K318" s="10">
        <v>45515</v>
      </c>
      <c r="L318" s="9">
        <v>663</v>
      </c>
      <c r="M318" s="6">
        <v>397367.92</v>
      </c>
      <c r="N318" s="6">
        <v>296605.52</v>
      </c>
      <c r="O318" s="6">
        <v>-100762.4</v>
      </c>
      <c r="P318" s="8">
        <v>-25.36</v>
      </c>
      <c r="Q318" s="7" t="s">
        <v>0</v>
      </c>
      <c r="R318" s="6">
        <v>0</v>
      </c>
      <c r="S318" s="6">
        <v>0</v>
      </c>
    </row>
    <row r="319" spans="1:19" ht="18" customHeight="1" x14ac:dyDescent="0.3">
      <c r="A319" s="4" t="s">
        <v>131</v>
      </c>
      <c r="B319" s="2" t="s">
        <v>36</v>
      </c>
      <c r="C319" s="2" t="s">
        <v>23</v>
      </c>
      <c r="D319" s="2" t="s">
        <v>35</v>
      </c>
      <c r="E319" s="2" t="s">
        <v>12</v>
      </c>
      <c r="F319" s="2" t="s">
        <v>1</v>
      </c>
      <c r="G319" s="4">
        <v>499</v>
      </c>
      <c r="H319" s="1">
        <v>3452.78</v>
      </c>
      <c r="I319" s="1">
        <v>4027.15</v>
      </c>
      <c r="J319" s="5">
        <v>44872</v>
      </c>
      <c r="K319" s="5">
        <v>45305</v>
      </c>
      <c r="L319" s="4">
        <v>433</v>
      </c>
      <c r="M319" s="1">
        <v>1722937.22</v>
      </c>
      <c r="N319" s="1">
        <v>2009547.85</v>
      </c>
      <c r="O319" s="1">
        <v>286610.63</v>
      </c>
      <c r="P319" s="3">
        <v>16.64</v>
      </c>
      <c r="Q319" s="2" t="s">
        <v>0</v>
      </c>
      <c r="R319" s="1">
        <v>0</v>
      </c>
      <c r="S319" s="1">
        <v>18661.060000000001</v>
      </c>
    </row>
    <row r="320" spans="1:19" ht="18" customHeight="1" x14ac:dyDescent="0.3">
      <c r="A320" s="9" t="s">
        <v>130</v>
      </c>
      <c r="B320" s="7" t="s">
        <v>33</v>
      </c>
      <c r="C320" s="7" t="s">
        <v>19</v>
      </c>
      <c r="D320" s="7" t="s">
        <v>32</v>
      </c>
      <c r="E320" s="7" t="s">
        <v>7</v>
      </c>
      <c r="F320" s="7" t="s">
        <v>1</v>
      </c>
      <c r="G320" s="9">
        <v>430</v>
      </c>
      <c r="H320" s="6">
        <v>2066.2600000000002</v>
      </c>
      <c r="I320" s="6">
        <v>1613</v>
      </c>
      <c r="J320" s="10">
        <v>44917</v>
      </c>
      <c r="K320" s="10">
        <v>45502</v>
      </c>
      <c r="L320" s="9">
        <v>585</v>
      </c>
      <c r="M320" s="6">
        <v>888491.8</v>
      </c>
      <c r="N320" s="6">
        <v>693590</v>
      </c>
      <c r="O320" s="6">
        <v>-194901.8</v>
      </c>
      <c r="P320" s="8">
        <v>-21.94</v>
      </c>
      <c r="Q320" s="7" t="s">
        <v>0</v>
      </c>
      <c r="R320" s="6">
        <v>0</v>
      </c>
      <c r="S320" s="6">
        <v>0</v>
      </c>
    </row>
    <row r="321" spans="1:19" ht="18" customHeight="1" x14ac:dyDescent="0.3">
      <c r="A321" s="4" t="s">
        <v>129</v>
      </c>
      <c r="B321" s="2" t="s">
        <v>30</v>
      </c>
      <c r="C321" s="2" t="s">
        <v>14</v>
      </c>
      <c r="D321" s="2" t="s">
        <v>28</v>
      </c>
      <c r="E321" s="2" t="s">
        <v>27</v>
      </c>
      <c r="F321" s="2" t="s">
        <v>1</v>
      </c>
      <c r="G321" s="4">
        <v>241</v>
      </c>
      <c r="H321" s="1">
        <v>3219.17</v>
      </c>
      <c r="I321" s="1">
        <v>3839.54</v>
      </c>
      <c r="J321" s="5">
        <v>44480</v>
      </c>
      <c r="K321" s="5">
        <v>44993</v>
      </c>
      <c r="L321" s="4">
        <v>513</v>
      </c>
      <c r="M321" s="1">
        <v>775819.97</v>
      </c>
      <c r="N321" s="1">
        <v>925329.14</v>
      </c>
      <c r="O321" s="1">
        <v>149509.17000000001</v>
      </c>
      <c r="P321" s="3">
        <v>19.27</v>
      </c>
      <c r="Q321" s="2" t="s">
        <v>0</v>
      </c>
      <c r="R321" s="1">
        <v>0</v>
      </c>
      <c r="S321" s="1">
        <v>4950.92</v>
      </c>
    </row>
    <row r="322" spans="1:19" ht="18" customHeight="1" x14ac:dyDescent="0.3">
      <c r="A322" s="9" t="s">
        <v>128</v>
      </c>
      <c r="B322" s="7" t="s">
        <v>24</v>
      </c>
      <c r="C322" s="7" t="s">
        <v>9</v>
      </c>
      <c r="D322" s="7" t="s">
        <v>22</v>
      </c>
      <c r="E322" s="7" t="s">
        <v>7</v>
      </c>
      <c r="F322" s="7" t="s">
        <v>1</v>
      </c>
      <c r="G322" s="9">
        <v>409</v>
      </c>
      <c r="H322" s="6">
        <v>362.64</v>
      </c>
      <c r="I322" s="6">
        <v>399.02</v>
      </c>
      <c r="J322" s="10">
        <v>44650</v>
      </c>
      <c r="K322" s="10">
        <v>44940</v>
      </c>
      <c r="L322" s="9">
        <v>290</v>
      </c>
      <c r="M322" s="6">
        <v>148319.76</v>
      </c>
      <c r="N322" s="6">
        <v>163199.18</v>
      </c>
      <c r="O322" s="6">
        <v>14879.42</v>
      </c>
      <c r="P322" s="8">
        <v>10.029999999999999</v>
      </c>
      <c r="Q322" s="7" t="s">
        <v>26</v>
      </c>
      <c r="R322" s="6">
        <v>2231.91</v>
      </c>
      <c r="S322" s="6">
        <v>0</v>
      </c>
    </row>
    <row r="323" spans="1:19" ht="18" customHeight="1" x14ac:dyDescent="0.3">
      <c r="A323" s="4" t="s">
        <v>127</v>
      </c>
      <c r="B323" s="2" t="s">
        <v>20</v>
      </c>
      <c r="C323" s="2" t="s">
        <v>4</v>
      </c>
      <c r="D323" s="2" t="s">
        <v>18</v>
      </c>
      <c r="E323" s="2" t="s">
        <v>17</v>
      </c>
      <c r="F323" s="2" t="s">
        <v>1</v>
      </c>
      <c r="G323" s="4">
        <v>262</v>
      </c>
      <c r="H323" s="1">
        <v>1103.78</v>
      </c>
      <c r="I323" s="1">
        <v>1100.1600000000001</v>
      </c>
      <c r="J323" s="5">
        <v>44524</v>
      </c>
      <c r="K323" s="5">
        <v>44624</v>
      </c>
      <c r="L323" s="4">
        <v>100</v>
      </c>
      <c r="M323" s="1">
        <v>289190.36</v>
      </c>
      <c r="N323" s="1">
        <v>288241.91999999998</v>
      </c>
      <c r="O323" s="1">
        <v>-948.44</v>
      </c>
      <c r="P323" s="3">
        <v>-0.33</v>
      </c>
      <c r="Q323" s="2" t="s">
        <v>26</v>
      </c>
      <c r="R323" s="1">
        <v>0</v>
      </c>
      <c r="S323" s="1">
        <v>0</v>
      </c>
    </row>
    <row r="324" spans="1:19" ht="18" customHeight="1" x14ac:dyDescent="0.3">
      <c r="A324" s="9" t="s">
        <v>126</v>
      </c>
      <c r="B324" s="7" t="s">
        <v>15</v>
      </c>
      <c r="C324" s="7" t="s">
        <v>29</v>
      </c>
      <c r="D324" s="7" t="s">
        <v>13</v>
      </c>
      <c r="E324" s="7" t="s">
        <v>12</v>
      </c>
      <c r="F324" s="7" t="s">
        <v>1</v>
      </c>
      <c r="G324" s="9">
        <v>476</v>
      </c>
      <c r="H324" s="6">
        <v>1870.49</v>
      </c>
      <c r="I324" s="6">
        <v>2154.5100000000002</v>
      </c>
      <c r="J324" s="10">
        <v>44780</v>
      </c>
      <c r="K324" s="10">
        <v>45617</v>
      </c>
      <c r="L324" s="9">
        <v>837</v>
      </c>
      <c r="M324" s="6">
        <v>890353.24</v>
      </c>
      <c r="N324" s="6">
        <v>1025546.76</v>
      </c>
      <c r="O324" s="6">
        <v>135193.51999999999</v>
      </c>
      <c r="P324" s="8">
        <v>15.18</v>
      </c>
      <c r="Q324" s="7" t="s">
        <v>0</v>
      </c>
      <c r="R324" s="6">
        <v>0</v>
      </c>
      <c r="S324" s="6">
        <v>3519.35</v>
      </c>
    </row>
    <row r="325" spans="1:19" ht="18" customHeight="1" x14ac:dyDescent="0.3">
      <c r="A325" s="4" t="s">
        <v>125</v>
      </c>
      <c r="B325" s="2" t="s">
        <v>10</v>
      </c>
      <c r="C325" s="2" t="s">
        <v>23</v>
      </c>
      <c r="D325" s="2" t="s">
        <v>8</v>
      </c>
      <c r="E325" s="2" t="s">
        <v>7</v>
      </c>
      <c r="F325" s="2" t="s">
        <v>1</v>
      </c>
      <c r="G325" s="4">
        <v>213</v>
      </c>
      <c r="H325" s="1">
        <v>2275.71</v>
      </c>
      <c r="I325" s="1">
        <v>1761.39</v>
      </c>
      <c r="J325" s="5">
        <v>44714</v>
      </c>
      <c r="K325" s="5">
        <v>44753</v>
      </c>
      <c r="L325" s="4">
        <v>39</v>
      </c>
      <c r="M325" s="1">
        <v>484726.23</v>
      </c>
      <c r="N325" s="1">
        <v>375176.07</v>
      </c>
      <c r="O325" s="1">
        <v>-109550.16</v>
      </c>
      <c r="P325" s="3">
        <v>-22.6</v>
      </c>
      <c r="Q325" s="2" t="s">
        <v>26</v>
      </c>
      <c r="R325" s="1">
        <v>0</v>
      </c>
      <c r="S325" s="1">
        <v>0</v>
      </c>
    </row>
    <row r="326" spans="1:19" ht="18" customHeight="1" x14ac:dyDescent="0.3">
      <c r="A326" s="9" t="s">
        <v>124</v>
      </c>
      <c r="B326" s="7" t="s">
        <v>5</v>
      </c>
      <c r="C326" s="7" t="s">
        <v>19</v>
      </c>
      <c r="D326" s="7" t="s">
        <v>3</v>
      </c>
      <c r="E326" s="7" t="s">
        <v>2</v>
      </c>
      <c r="F326" s="7" t="s">
        <v>1</v>
      </c>
      <c r="G326" s="9">
        <v>214</v>
      </c>
      <c r="H326" s="6">
        <v>2016.64</v>
      </c>
      <c r="I326" s="6">
        <v>2375.73</v>
      </c>
      <c r="J326" s="10">
        <v>44733</v>
      </c>
      <c r="K326" s="10">
        <v>45494</v>
      </c>
      <c r="L326" s="9">
        <v>761</v>
      </c>
      <c r="M326" s="6">
        <v>431560.96000000002</v>
      </c>
      <c r="N326" s="6">
        <v>508406.22</v>
      </c>
      <c r="O326" s="6">
        <v>76845.259999999995</v>
      </c>
      <c r="P326" s="8">
        <v>17.809999999999999</v>
      </c>
      <c r="Q326" s="7" t="s">
        <v>0</v>
      </c>
      <c r="R326" s="6">
        <v>0</v>
      </c>
      <c r="S326" s="6">
        <v>0</v>
      </c>
    </row>
    <row r="327" spans="1:19" ht="18" customHeight="1" x14ac:dyDescent="0.3">
      <c r="A327" s="4" t="s">
        <v>123</v>
      </c>
      <c r="B327" s="2" t="s">
        <v>62</v>
      </c>
      <c r="C327" s="2" t="s">
        <v>14</v>
      </c>
      <c r="D327" s="2" t="s">
        <v>61</v>
      </c>
      <c r="E327" s="2" t="s">
        <v>60</v>
      </c>
      <c r="F327" s="2" t="s">
        <v>1</v>
      </c>
      <c r="G327" s="4">
        <v>20</v>
      </c>
      <c r="H327" s="1">
        <v>2074.48</v>
      </c>
      <c r="I327" s="1">
        <v>3185.57</v>
      </c>
      <c r="J327" s="5">
        <v>44223</v>
      </c>
      <c r="K327" s="5">
        <v>44275</v>
      </c>
      <c r="L327" s="4">
        <v>52</v>
      </c>
      <c r="M327" s="1">
        <v>41489.599999999999</v>
      </c>
      <c r="N327" s="1">
        <v>63711.4</v>
      </c>
      <c r="O327" s="1">
        <v>22221.8</v>
      </c>
      <c r="P327" s="3">
        <v>53.56</v>
      </c>
      <c r="Q327" s="2" t="s">
        <v>26</v>
      </c>
      <c r="R327" s="1">
        <v>3333.27</v>
      </c>
      <c r="S327" s="1">
        <v>0</v>
      </c>
    </row>
    <row r="328" spans="1:19" ht="18" customHeight="1" x14ac:dyDescent="0.3">
      <c r="A328" s="9" t="s">
        <v>122</v>
      </c>
      <c r="B328" s="7" t="s">
        <v>58</v>
      </c>
      <c r="C328" s="7" t="s">
        <v>9</v>
      </c>
      <c r="D328" s="7" t="s">
        <v>57</v>
      </c>
      <c r="E328" s="7" t="s">
        <v>56</v>
      </c>
      <c r="F328" s="7" t="s">
        <v>1</v>
      </c>
      <c r="G328" s="9">
        <v>461</v>
      </c>
      <c r="H328" s="6">
        <v>2512.92</v>
      </c>
      <c r="I328" s="6">
        <v>1930.92</v>
      </c>
      <c r="J328" s="10">
        <v>44963</v>
      </c>
      <c r="K328" s="10">
        <v>45678</v>
      </c>
      <c r="L328" s="9">
        <v>715</v>
      </c>
      <c r="M328" s="6">
        <v>1158456.1200000001</v>
      </c>
      <c r="N328" s="6">
        <v>890154.12</v>
      </c>
      <c r="O328" s="6">
        <v>-268302</v>
      </c>
      <c r="P328" s="8">
        <v>-23.16</v>
      </c>
      <c r="Q328" s="7" t="s">
        <v>0</v>
      </c>
      <c r="R328" s="6">
        <v>0</v>
      </c>
      <c r="S328" s="6">
        <v>0</v>
      </c>
    </row>
    <row r="329" spans="1:19" ht="18" customHeight="1" x14ac:dyDescent="0.3">
      <c r="A329" s="4" t="s">
        <v>121</v>
      </c>
      <c r="B329" s="2" t="s">
        <v>54</v>
      </c>
      <c r="C329" s="2" t="s">
        <v>4</v>
      </c>
      <c r="D329" s="2" t="s">
        <v>53</v>
      </c>
      <c r="E329" s="2" t="s">
        <v>52</v>
      </c>
      <c r="F329" s="2" t="s">
        <v>1</v>
      </c>
      <c r="G329" s="4">
        <v>273</v>
      </c>
      <c r="H329" s="1">
        <v>2473.48</v>
      </c>
      <c r="I329" s="1">
        <v>2823.81</v>
      </c>
      <c r="J329" s="5">
        <v>45072</v>
      </c>
      <c r="K329" s="5">
        <v>45499</v>
      </c>
      <c r="L329" s="4">
        <v>427</v>
      </c>
      <c r="M329" s="1">
        <v>675260.04</v>
      </c>
      <c r="N329" s="1">
        <v>770900.13</v>
      </c>
      <c r="O329" s="1">
        <v>95640.09</v>
      </c>
      <c r="P329" s="3">
        <v>14.16</v>
      </c>
      <c r="Q329" s="2" t="s">
        <v>0</v>
      </c>
      <c r="R329" s="1">
        <v>0</v>
      </c>
      <c r="S329" s="1">
        <v>0</v>
      </c>
    </row>
    <row r="330" spans="1:19" ht="18" customHeight="1" x14ac:dyDescent="0.3">
      <c r="A330" s="9" t="s">
        <v>120</v>
      </c>
      <c r="B330" s="7" t="s">
        <v>50</v>
      </c>
      <c r="C330" s="7" t="s">
        <v>29</v>
      </c>
      <c r="D330" s="7" t="s">
        <v>49</v>
      </c>
      <c r="E330" s="7" t="s">
        <v>48</v>
      </c>
      <c r="F330" s="7" t="s">
        <v>1</v>
      </c>
      <c r="G330" s="9">
        <v>192</v>
      </c>
      <c r="H330" s="6">
        <v>2160.94</v>
      </c>
      <c r="I330" s="6">
        <v>1974.16</v>
      </c>
      <c r="J330" s="10">
        <v>44656</v>
      </c>
      <c r="K330" s="10">
        <v>45312</v>
      </c>
      <c r="L330" s="9">
        <v>656</v>
      </c>
      <c r="M330" s="6">
        <v>414900.47999999998</v>
      </c>
      <c r="N330" s="6">
        <v>379038.71999999997</v>
      </c>
      <c r="O330" s="6">
        <v>-35861.760000000002</v>
      </c>
      <c r="P330" s="8">
        <v>-8.64</v>
      </c>
      <c r="Q330" s="7" t="s">
        <v>0</v>
      </c>
      <c r="R330" s="6">
        <v>0</v>
      </c>
      <c r="S330" s="6">
        <v>0</v>
      </c>
    </row>
    <row r="331" spans="1:19" ht="18" customHeight="1" x14ac:dyDescent="0.3">
      <c r="A331" s="4" t="s">
        <v>119</v>
      </c>
      <c r="B331" s="2" t="s">
        <v>46</v>
      </c>
      <c r="C331" s="2" t="s">
        <v>23</v>
      </c>
      <c r="D331" s="2" t="s">
        <v>45</v>
      </c>
      <c r="E331" s="2" t="s">
        <v>44</v>
      </c>
      <c r="F331" s="2" t="s">
        <v>1</v>
      </c>
      <c r="G331" s="4">
        <v>497</v>
      </c>
      <c r="H331" s="1">
        <v>1522.02</v>
      </c>
      <c r="I331" s="1">
        <v>2341.4299999999998</v>
      </c>
      <c r="J331" s="5">
        <v>44988</v>
      </c>
      <c r="K331" s="5">
        <v>45777</v>
      </c>
      <c r="L331" s="4">
        <v>789</v>
      </c>
      <c r="M331" s="1">
        <v>756443.94</v>
      </c>
      <c r="N331" s="1">
        <v>1163690.71</v>
      </c>
      <c r="O331" s="1">
        <v>407246.77</v>
      </c>
      <c r="P331" s="3">
        <v>53.84</v>
      </c>
      <c r="Q331" s="2" t="s">
        <v>0</v>
      </c>
      <c r="R331" s="1">
        <v>0</v>
      </c>
      <c r="S331" s="1">
        <v>30724.68</v>
      </c>
    </row>
    <row r="332" spans="1:19" ht="18" customHeight="1" x14ac:dyDescent="0.3">
      <c r="A332" s="9" t="s">
        <v>118</v>
      </c>
      <c r="B332" s="7" t="s">
        <v>42</v>
      </c>
      <c r="C332" s="7" t="s">
        <v>19</v>
      </c>
      <c r="D332" s="7" t="s">
        <v>41</v>
      </c>
      <c r="E332" s="7" t="s">
        <v>12</v>
      </c>
      <c r="F332" s="7" t="s">
        <v>1</v>
      </c>
      <c r="G332" s="9">
        <v>96</v>
      </c>
      <c r="H332" s="6">
        <v>3437.8</v>
      </c>
      <c r="I332" s="6">
        <v>3497.85</v>
      </c>
      <c r="J332" s="10">
        <v>44809</v>
      </c>
      <c r="K332" s="10">
        <v>45146</v>
      </c>
      <c r="L332" s="9">
        <v>337</v>
      </c>
      <c r="M332" s="6">
        <v>330028.79999999999</v>
      </c>
      <c r="N332" s="6">
        <v>335793.6</v>
      </c>
      <c r="O332" s="6">
        <v>5764.8</v>
      </c>
      <c r="P332" s="8">
        <v>1.75</v>
      </c>
      <c r="Q332" s="7" t="s">
        <v>26</v>
      </c>
      <c r="R332" s="6">
        <v>864.72</v>
      </c>
      <c r="S332" s="6">
        <v>0</v>
      </c>
    </row>
    <row r="333" spans="1:19" ht="18" customHeight="1" x14ac:dyDescent="0.3">
      <c r="A333" s="4" t="s">
        <v>117</v>
      </c>
      <c r="B333" s="2" t="s">
        <v>39</v>
      </c>
      <c r="C333" s="2" t="s">
        <v>14</v>
      </c>
      <c r="D333" s="2" t="s">
        <v>38</v>
      </c>
      <c r="E333" s="2" t="s">
        <v>7</v>
      </c>
      <c r="F333" s="2" t="s">
        <v>1</v>
      </c>
      <c r="G333" s="4">
        <v>86</v>
      </c>
      <c r="H333" s="1">
        <v>1643.28</v>
      </c>
      <c r="I333" s="1">
        <v>1324.51</v>
      </c>
      <c r="J333" s="5">
        <v>44733</v>
      </c>
      <c r="K333" s="5">
        <v>45597</v>
      </c>
      <c r="L333" s="4">
        <v>864</v>
      </c>
      <c r="M333" s="1">
        <v>141322.07999999999</v>
      </c>
      <c r="N333" s="1">
        <v>113907.86</v>
      </c>
      <c r="O333" s="1">
        <v>-27414.22</v>
      </c>
      <c r="P333" s="3">
        <v>-19.399999999999999</v>
      </c>
      <c r="Q333" s="2" t="s">
        <v>0</v>
      </c>
      <c r="R333" s="1">
        <v>0</v>
      </c>
      <c r="S333" s="1">
        <v>0</v>
      </c>
    </row>
    <row r="334" spans="1:19" ht="18" customHeight="1" x14ac:dyDescent="0.3">
      <c r="A334" s="9" t="s">
        <v>116</v>
      </c>
      <c r="B334" s="7" t="s">
        <v>36</v>
      </c>
      <c r="C334" s="7" t="s">
        <v>9</v>
      </c>
      <c r="D334" s="7" t="s">
        <v>35</v>
      </c>
      <c r="E334" s="7" t="s">
        <v>12</v>
      </c>
      <c r="F334" s="7" t="s">
        <v>1</v>
      </c>
      <c r="G334" s="9">
        <v>327</v>
      </c>
      <c r="H334" s="6">
        <v>579.29999999999995</v>
      </c>
      <c r="I334" s="6">
        <v>725.46</v>
      </c>
      <c r="J334" s="10">
        <v>44719</v>
      </c>
      <c r="K334" s="10">
        <v>44916</v>
      </c>
      <c r="L334" s="9">
        <v>197</v>
      </c>
      <c r="M334" s="6">
        <v>189431.1</v>
      </c>
      <c r="N334" s="6">
        <v>237225.42</v>
      </c>
      <c r="O334" s="6">
        <v>47794.32</v>
      </c>
      <c r="P334" s="8">
        <v>25.23</v>
      </c>
      <c r="Q334" s="7" t="s">
        <v>26</v>
      </c>
      <c r="R334" s="6">
        <v>7169.15</v>
      </c>
      <c r="S334" s="6">
        <v>0</v>
      </c>
    </row>
    <row r="335" spans="1:19" ht="18" customHeight="1" x14ac:dyDescent="0.3">
      <c r="A335" s="4" t="s">
        <v>115</v>
      </c>
      <c r="B335" s="2" t="s">
        <v>33</v>
      </c>
      <c r="C335" s="2" t="s">
        <v>4</v>
      </c>
      <c r="D335" s="2" t="s">
        <v>32</v>
      </c>
      <c r="E335" s="2" t="s">
        <v>7</v>
      </c>
      <c r="F335" s="2" t="s">
        <v>1</v>
      </c>
      <c r="G335" s="4">
        <v>491</v>
      </c>
      <c r="H335" s="1">
        <v>895.07</v>
      </c>
      <c r="I335" s="1">
        <v>914.34</v>
      </c>
      <c r="J335" s="5">
        <v>44317</v>
      </c>
      <c r="K335" s="5">
        <v>44737</v>
      </c>
      <c r="L335" s="4">
        <v>420</v>
      </c>
      <c r="M335" s="1">
        <v>439479.37</v>
      </c>
      <c r="N335" s="1">
        <v>448940.94</v>
      </c>
      <c r="O335" s="1">
        <v>9461.57</v>
      </c>
      <c r="P335" s="3">
        <v>2.15</v>
      </c>
      <c r="Q335" s="2" t="s">
        <v>0</v>
      </c>
      <c r="R335" s="1">
        <v>0</v>
      </c>
      <c r="S335" s="1">
        <v>0</v>
      </c>
    </row>
    <row r="336" spans="1:19" ht="18" customHeight="1" x14ac:dyDescent="0.3">
      <c r="A336" s="9" t="s">
        <v>114</v>
      </c>
      <c r="B336" s="7" t="s">
        <v>30</v>
      </c>
      <c r="C336" s="7" t="s">
        <v>29</v>
      </c>
      <c r="D336" s="7" t="s">
        <v>28</v>
      </c>
      <c r="E336" s="7" t="s">
        <v>27</v>
      </c>
      <c r="F336" s="7" t="s">
        <v>1</v>
      </c>
      <c r="G336" s="9">
        <v>118</v>
      </c>
      <c r="H336" s="6">
        <v>1628.73</v>
      </c>
      <c r="I336" s="6">
        <v>2481.31</v>
      </c>
      <c r="J336" s="10">
        <v>44690</v>
      </c>
      <c r="K336" s="10">
        <v>45284</v>
      </c>
      <c r="L336" s="9">
        <v>594</v>
      </c>
      <c r="M336" s="6">
        <v>192190.14</v>
      </c>
      <c r="N336" s="6">
        <v>292794.58</v>
      </c>
      <c r="O336" s="6">
        <v>100604.44</v>
      </c>
      <c r="P336" s="8">
        <v>52.35</v>
      </c>
      <c r="Q336" s="7" t="s">
        <v>0</v>
      </c>
      <c r="R336" s="6">
        <v>0</v>
      </c>
      <c r="S336" s="6">
        <v>60.44</v>
      </c>
    </row>
    <row r="337" spans="1:19" ht="18" customHeight="1" x14ac:dyDescent="0.3">
      <c r="A337" s="4" t="s">
        <v>113</v>
      </c>
      <c r="B337" s="2" t="s">
        <v>24</v>
      </c>
      <c r="C337" s="2" t="s">
        <v>23</v>
      </c>
      <c r="D337" s="2" t="s">
        <v>22</v>
      </c>
      <c r="E337" s="2" t="s">
        <v>7</v>
      </c>
      <c r="F337" s="2" t="s">
        <v>1</v>
      </c>
      <c r="G337" s="4">
        <v>298</v>
      </c>
      <c r="H337" s="1">
        <v>3491.93</v>
      </c>
      <c r="I337" s="1">
        <v>2635.07</v>
      </c>
      <c r="J337" s="5">
        <v>45059</v>
      </c>
      <c r="K337" s="5">
        <v>45680</v>
      </c>
      <c r="L337" s="4">
        <v>621</v>
      </c>
      <c r="M337" s="1">
        <v>1040595.14</v>
      </c>
      <c r="N337" s="1">
        <v>785250.86</v>
      </c>
      <c r="O337" s="1">
        <v>-255344.28</v>
      </c>
      <c r="P337" s="3">
        <v>-24.54</v>
      </c>
      <c r="Q337" s="2" t="s">
        <v>0</v>
      </c>
      <c r="R337" s="1">
        <v>0</v>
      </c>
      <c r="S337" s="1">
        <v>0</v>
      </c>
    </row>
    <row r="338" spans="1:19" ht="18" customHeight="1" x14ac:dyDescent="0.3">
      <c r="A338" s="9" t="s">
        <v>112</v>
      </c>
      <c r="B338" s="7" t="s">
        <v>20</v>
      </c>
      <c r="C338" s="7" t="s">
        <v>19</v>
      </c>
      <c r="D338" s="7" t="s">
        <v>18</v>
      </c>
      <c r="E338" s="7" t="s">
        <v>17</v>
      </c>
      <c r="F338" s="7" t="s">
        <v>1</v>
      </c>
      <c r="G338" s="9">
        <v>115</v>
      </c>
      <c r="H338" s="6">
        <v>1347.4</v>
      </c>
      <c r="I338" s="6">
        <v>1205.6300000000001</v>
      </c>
      <c r="J338" s="10">
        <v>44889</v>
      </c>
      <c r="K338" s="10">
        <v>45474</v>
      </c>
      <c r="L338" s="9">
        <v>585</v>
      </c>
      <c r="M338" s="6">
        <v>154951</v>
      </c>
      <c r="N338" s="6">
        <v>138647.45000000001</v>
      </c>
      <c r="O338" s="6">
        <v>-16303.55</v>
      </c>
      <c r="P338" s="8">
        <v>-10.52</v>
      </c>
      <c r="Q338" s="7" t="s">
        <v>0</v>
      </c>
      <c r="R338" s="6">
        <v>0</v>
      </c>
      <c r="S338" s="6">
        <v>0</v>
      </c>
    </row>
    <row r="339" spans="1:19" ht="18" customHeight="1" x14ac:dyDescent="0.3">
      <c r="A339" s="4" t="s">
        <v>111</v>
      </c>
      <c r="B339" s="2" t="s">
        <v>15</v>
      </c>
      <c r="C339" s="2" t="s">
        <v>14</v>
      </c>
      <c r="D339" s="2" t="s">
        <v>13</v>
      </c>
      <c r="E339" s="2" t="s">
        <v>12</v>
      </c>
      <c r="F339" s="2" t="s">
        <v>1</v>
      </c>
      <c r="G339" s="4">
        <v>60</v>
      </c>
      <c r="H339" s="1">
        <v>505.47</v>
      </c>
      <c r="I339" s="1">
        <v>743.08</v>
      </c>
      <c r="J339" s="5">
        <v>44299</v>
      </c>
      <c r="K339" s="5">
        <v>44641</v>
      </c>
      <c r="L339" s="4">
        <v>342</v>
      </c>
      <c r="M339" s="1">
        <v>30328.2</v>
      </c>
      <c r="N339" s="1">
        <v>44584.800000000003</v>
      </c>
      <c r="O339" s="1">
        <v>14256.6</v>
      </c>
      <c r="P339" s="3">
        <v>47.01</v>
      </c>
      <c r="Q339" s="2" t="s">
        <v>26</v>
      </c>
      <c r="R339" s="1">
        <v>2138.4899999999998</v>
      </c>
      <c r="S339" s="1">
        <v>0</v>
      </c>
    </row>
    <row r="340" spans="1:19" ht="18" customHeight="1" x14ac:dyDescent="0.3">
      <c r="A340" s="9" t="s">
        <v>110</v>
      </c>
      <c r="B340" s="7" t="s">
        <v>10</v>
      </c>
      <c r="C340" s="7" t="s">
        <v>9</v>
      </c>
      <c r="D340" s="7" t="s">
        <v>8</v>
      </c>
      <c r="E340" s="7" t="s">
        <v>7</v>
      </c>
      <c r="F340" s="7" t="s">
        <v>1</v>
      </c>
      <c r="G340" s="9">
        <v>251</v>
      </c>
      <c r="H340" s="6">
        <v>2975.09</v>
      </c>
      <c r="I340" s="6">
        <v>3649.7</v>
      </c>
      <c r="J340" s="10">
        <v>44251</v>
      </c>
      <c r="K340" s="10">
        <v>44538</v>
      </c>
      <c r="L340" s="9">
        <v>287</v>
      </c>
      <c r="M340" s="6">
        <v>746747.59</v>
      </c>
      <c r="N340" s="6">
        <v>916074.7</v>
      </c>
      <c r="O340" s="6">
        <v>169327.11</v>
      </c>
      <c r="P340" s="8">
        <v>22.68</v>
      </c>
      <c r="Q340" s="7" t="s">
        <v>26</v>
      </c>
      <c r="R340" s="6">
        <v>25399.07</v>
      </c>
      <c r="S340" s="6">
        <v>0</v>
      </c>
    </row>
    <row r="341" spans="1:19" ht="18" customHeight="1" x14ac:dyDescent="0.3">
      <c r="A341" s="4" t="s">
        <v>109</v>
      </c>
      <c r="B341" s="2" t="s">
        <v>5</v>
      </c>
      <c r="C341" s="2" t="s">
        <v>4</v>
      </c>
      <c r="D341" s="2" t="s">
        <v>3</v>
      </c>
      <c r="E341" s="2" t="s">
        <v>2</v>
      </c>
      <c r="F341" s="2" t="s">
        <v>1</v>
      </c>
      <c r="G341" s="4">
        <v>357</v>
      </c>
      <c r="H341" s="1">
        <v>2429.67</v>
      </c>
      <c r="I341" s="1">
        <v>2753.45</v>
      </c>
      <c r="J341" s="5">
        <v>44676</v>
      </c>
      <c r="K341" s="5">
        <v>44912</v>
      </c>
      <c r="L341" s="4">
        <v>236</v>
      </c>
      <c r="M341" s="1">
        <v>867392.19</v>
      </c>
      <c r="N341" s="1">
        <v>982981.65</v>
      </c>
      <c r="O341" s="1">
        <v>115589.46</v>
      </c>
      <c r="P341" s="3">
        <v>13.33</v>
      </c>
      <c r="Q341" s="2" t="s">
        <v>26</v>
      </c>
      <c r="R341" s="1">
        <v>17338.419999999998</v>
      </c>
      <c r="S341" s="1">
        <v>0</v>
      </c>
    </row>
    <row r="342" spans="1:19" ht="18" customHeight="1" x14ac:dyDescent="0.3">
      <c r="A342" s="9" t="s">
        <v>108</v>
      </c>
      <c r="B342" s="7" t="s">
        <v>62</v>
      </c>
      <c r="C342" s="7" t="s">
        <v>29</v>
      </c>
      <c r="D342" s="7" t="s">
        <v>61</v>
      </c>
      <c r="E342" s="7" t="s">
        <v>60</v>
      </c>
      <c r="F342" s="7" t="s">
        <v>1</v>
      </c>
      <c r="G342" s="9">
        <v>263</v>
      </c>
      <c r="H342" s="6">
        <v>3293.13</v>
      </c>
      <c r="I342" s="6">
        <v>3792.15</v>
      </c>
      <c r="J342" s="10">
        <v>44464</v>
      </c>
      <c r="K342" s="10">
        <v>45364</v>
      </c>
      <c r="L342" s="9">
        <v>900</v>
      </c>
      <c r="M342" s="6">
        <v>866093.19</v>
      </c>
      <c r="N342" s="6">
        <v>997335.45</v>
      </c>
      <c r="O342" s="6">
        <v>131242.26</v>
      </c>
      <c r="P342" s="8">
        <v>15.15</v>
      </c>
      <c r="Q342" s="7" t="s">
        <v>0</v>
      </c>
      <c r="R342" s="6">
        <v>0</v>
      </c>
      <c r="S342" s="6">
        <v>3124.23</v>
      </c>
    </row>
    <row r="343" spans="1:19" ht="18" customHeight="1" x14ac:dyDescent="0.3">
      <c r="A343" s="4" t="s">
        <v>107</v>
      </c>
      <c r="B343" s="2" t="s">
        <v>58</v>
      </c>
      <c r="C343" s="2" t="s">
        <v>23</v>
      </c>
      <c r="D343" s="2" t="s">
        <v>57</v>
      </c>
      <c r="E343" s="2" t="s">
        <v>56</v>
      </c>
      <c r="F343" s="2" t="s">
        <v>1</v>
      </c>
      <c r="G343" s="4">
        <v>215</v>
      </c>
      <c r="H343" s="1">
        <v>2590.67</v>
      </c>
      <c r="I343" s="1">
        <v>3196.37</v>
      </c>
      <c r="J343" s="5">
        <v>44422</v>
      </c>
      <c r="K343" s="5">
        <v>45299</v>
      </c>
      <c r="L343" s="4">
        <v>877</v>
      </c>
      <c r="M343" s="1">
        <v>556994.05000000005</v>
      </c>
      <c r="N343" s="1">
        <v>687219.55</v>
      </c>
      <c r="O343" s="1">
        <v>130225.5</v>
      </c>
      <c r="P343" s="3">
        <v>23.38</v>
      </c>
      <c r="Q343" s="2" t="s">
        <v>0</v>
      </c>
      <c r="R343" s="1">
        <v>0</v>
      </c>
      <c r="S343" s="1">
        <v>3022.55</v>
      </c>
    </row>
    <row r="344" spans="1:19" ht="18" customHeight="1" x14ac:dyDescent="0.3">
      <c r="A344" s="9" t="s">
        <v>106</v>
      </c>
      <c r="B344" s="7" t="s">
        <v>54</v>
      </c>
      <c r="C344" s="7" t="s">
        <v>19</v>
      </c>
      <c r="D344" s="7" t="s">
        <v>53</v>
      </c>
      <c r="E344" s="7" t="s">
        <v>52</v>
      </c>
      <c r="F344" s="7" t="s">
        <v>1</v>
      </c>
      <c r="G344" s="9">
        <v>33</v>
      </c>
      <c r="H344" s="6">
        <v>3006.07</v>
      </c>
      <c r="I344" s="6">
        <v>3937.48</v>
      </c>
      <c r="J344" s="10">
        <v>44213</v>
      </c>
      <c r="K344" s="10">
        <v>44338</v>
      </c>
      <c r="L344" s="9">
        <v>125</v>
      </c>
      <c r="M344" s="6">
        <v>99200.31</v>
      </c>
      <c r="N344" s="6">
        <v>129936.84</v>
      </c>
      <c r="O344" s="6">
        <v>30736.53</v>
      </c>
      <c r="P344" s="8">
        <v>30.98</v>
      </c>
      <c r="Q344" s="7" t="s">
        <v>26</v>
      </c>
      <c r="R344" s="6">
        <v>4610.4799999999996</v>
      </c>
      <c r="S344" s="6">
        <v>0</v>
      </c>
    </row>
    <row r="345" spans="1:19" ht="18" customHeight="1" x14ac:dyDescent="0.3">
      <c r="A345" s="4" t="s">
        <v>105</v>
      </c>
      <c r="B345" s="2" t="s">
        <v>50</v>
      </c>
      <c r="C345" s="2" t="s">
        <v>14</v>
      </c>
      <c r="D345" s="2" t="s">
        <v>49</v>
      </c>
      <c r="E345" s="2" t="s">
        <v>48</v>
      </c>
      <c r="F345" s="2" t="s">
        <v>1</v>
      </c>
      <c r="G345" s="4">
        <v>482</v>
      </c>
      <c r="H345" s="1">
        <v>2225.36</v>
      </c>
      <c r="I345" s="1">
        <v>1993.46</v>
      </c>
      <c r="J345" s="5">
        <v>44952</v>
      </c>
      <c r="K345" s="5">
        <v>45058</v>
      </c>
      <c r="L345" s="4">
        <v>106</v>
      </c>
      <c r="M345" s="1">
        <v>1072623.52</v>
      </c>
      <c r="N345" s="1">
        <v>960847.72</v>
      </c>
      <c r="O345" s="1">
        <v>-111775.8</v>
      </c>
      <c r="P345" s="3">
        <v>-10.42</v>
      </c>
      <c r="Q345" s="2" t="s">
        <v>26</v>
      </c>
      <c r="R345" s="1">
        <v>0</v>
      </c>
      <c r="S345" s="1">
        <v>0</v>
      </c>
    </row>
    <row r="346" spans="1:19" ht="18" customHeight="1" x14ac:dyDescent="0.3">
      <c r="A346" s="9" t="s">
        <v>104</v>
      </c>
      <c r="B346" s="7" t="s">
        <v>46</v>
      </c>
      <c r="C346" s="7" t="s">
        <v>9</v>
      </c>
      <c r="D346" s="7" t="s">
        <v>45</v>
      </c>
      <c r="E346" s="7" t="s">
        <v>44</v>
      </c>
      <c r="F346" s="7" t="s">
        <v>1</v>
      </c>
      <c r="G346" s="9">
        <v>327</v>
      </c>
      <c r="H346" s="6">
        <v>3255.32</v>
      </c>
      <c r="I346" s="6">
        <v>3842.22</v>
      </c>
      <c r="J346" s="10">
        <v>44719</v>
      </c>
      <c r="K346" s="10">
        <v>44940</v>
      </c>
      <c r="L346" s="9">
        <v>221</v>
      </c>
      <c r="M346" s="6">
        <v>1064489.6399999999</v>
      </c>
      <c r="N346" s="6">
        <v>1256405.94</v>
      </c>
      <c r="O346" s="6">
        <v>191916.3</v>
      </c>
      <c r="P346" s="8">
        <v>18.03</v>
      </c>
      <c r="Q346" s="7" t="s">
        <v>26</v>
      </c>
      <c r="R346" s="6">
        <v>28787.439999999999</v>
      </c>
      <c r="S346" s="6">
        <v>0</v>
      </c>
    </row>
    <row r="347" spans="1:19" ht="18" customHeight="1" x14ac:dyDescent="0.3">
      <c r="A347" s="4" t="s">
        <v>103</v>
      </c>
      <c r="B347" s="2" t="s">
        <v>42</v>
      </c>
      <c r="C347" s="2" t="s">
        <v>4</v>
      </c>
      <c r="D347" s="2" t="s">
        <v>41</v>
      </c>
      <c r="E347" s="2" t="s">
        <v>12</v>
      </c>
      <c r="F347" s="2" t="s">
        <v>1</v>
      </c>
      <c r="G347" s="4">
        <v>45</v>
      </c>
      <c r="H347" s="1">
        <v>1936.61</v>
      </c>
      <c r="I347" s="1">
        <v>2578.7800000000002</v>
      </c>
      <c r="J347" s="5">
        <v>44772</v>
      </c>
      <c r="K347" s="5">
        <v>44959</v>
      </c>
      <c r="L347" s="4">
        <v>187</v>
      </c>
      <c r="M347" s="1">
        <v>87147.45</v>
      </c>
      <c r="N347" s="1">
        <v>116045.1</v>
      </c>
      <c r="O347" s="1">
        <v>28897.65</v>
      </c>
      <c r="P347" s="3">
        <v>33.159999999999997</v>
      </c>
      <c r="Q347" s="2" t="s">
        <v>26</v>
      </c>
      <c r="R347" s="1">
        <v>4334.6499999999996</v>
      </c>
      <c r="S347" s="1">
        <v>0</v>
      </c>
    </row>
    <row r="348" spans="1:19" ht="18" customHeight="1" x14ac:dyDescent="0.3">
      <c r="A348" s="9" t="s">
        <v>102</v>
      </c>
      <c r="B348" s="7" t="s">
        <v>39</v>
      </c>
      <c r="C348" s="7" t="s">
        <v>29</v>
      </c>
      <c r="D348" s="7" t="s">
        <v>38</v>
      </c>
      <c r="E348" s="7" t="s">
        <v>7</v>
      </c>
      <c r="F348" s="7" t="s">
        <v>1</v>
      </c>
      <c r="G348" s="9">
        <v>74</v>
      </c>
      <c r="H348" s="6">
        <v>482.23</v>
      </c>
      <c r="I348" s="6">
        <v>408.76</v>
      </c>
      <c r="J348" s="10">
        <v>44856</v>
      </c>
      <c r="K348" s="10">
        <v>45285</v>
      </c>
      <c r="L348" s="9">
        <v>429</v>
      </c>
      <c r="M348" s="6">
        <v>35685.019999999997</v>
      </c>
      <c r="N348" s="6">
        <v>30248.240000000002</v>
      </c>
      <c r="O348" s="6">
        <v>-5436.78</v>
      </c>
      <c r="P348" s="8">
        <v>-15.24</v>
      </c>
      <c r="Q348" s="7" t="s">
        <v>0</v>
      </c>
      <c r="R348" s="6">
        <v>0</v>
      </c>
      <c r="S348" s="6">
        <v>0</v>
      </c>
    </row>
    <row r="349" spans="1:19" ht="18" customHeight="1" x14ac:dyDescent="0.3">
      <c r="A349" s="4" t="s">
        <v>101</v>
      </c>
      <c r="B349" s="2" t="s">
        <v>36</v>
      </c>
      <c r="C349" s="2" t="s">
        <v>23</v>
      </c>
      <c r="D349" s="2" t="s">
        <v>35</v>
      </c>
      <c r="E349" s="2" t="s">
        <v>12</v>
      </c>
      <c r="F349" s="2" t="s">
        <v>1</v>
      </c>
      <c r="G349" s="4">
        <v>350</v>
      </c>
      <c r="H349" s="1">
        <v>1301.92</v>
      </c>
      <c r="I349" s="1">
        <v>1812.39</v>
      </c>
      <c r="J349" s="5">
        <v>45051</v>
      </c>
      <c r="K349" s="5">
        <v>45138</v>
      </c>
      <c r="L349" s="4">
        <v>87</v>
      </c>
      <c r="M349" s="1">
        <v>455672</v>
      </c>
      <c r="N349" s="1">
        <v>634336.5</v>
      </c>
      <c r="O349" s="1">
        <v>178664.5</v>
      </c>
      <c r="P349" s="3">
        <v>39.21</v>
      </c>
      <c r="Q349" s="2" t="s">
        <v>26</v>
      </c>
      <c r="R349" s="1">
        <v>26799.67</v>
      </c>
      <c r="S349" s="1">
        <v>0</v>
      </c>
    </row>
    <row r="350" spans="1:19" ht="18" customHeight="1" x14ac:dyDescent="0.3">
      <c r="A350" s="9" t="s">
        <v>100</v>
      </c>
      <c r="B350" s="7" t="s">
        <v>33</v>
      </c>
      <c r="C350" s="7" t="s">
        <v>19</v>
      </c>
      <c r="D350" s="7" t="s">
        <v>32</v>
      </c>
      <c r="E350" s="7" t="s">
        <v>7</v>
      </c>
      <c r="F350" s="7" t="s">
        <v>1</v>
      </c>
      <c r="G350" s="9">
        <v>22</v>
      </c>
      <c r="H350" s="6">
        <v>3370.5</v>
      </c>
      <c r="I350" s="6">
        <v>5098.8100000000004</v>
      </c>
      <c r="J350" s="10">
        <v>44940</v>
      </c>
      <c r="K350" s="10">
        <v>45452</v>
      </c>
      <c r="L350" s="9">
        <v>512</v>
      </c>
      <c r="M350" s="6">
        <v>74151</v>
      </c>
      <c r="N350" s="6">
        <v>112173.82</v>
      </c>
      <c r="O350" s="6">
        <v>38022.82</v>
      </c>
      <c r="P350" s="8">
        <v>51.28</v>
      </c>
      <c r="Q350" s="7" t="s">
        <v>0</v>
      </c>
      <c r="R350" s="6">
        <v>0</v>
      </c>
      <c r="S350" s="6">
        <v>0</v>
      </c>
    </row>
    <row r="351" spans="1:19" ht="18" customHeight="1" x14ac:dyDescent="0.3">
      <c r="A351" s="4" t="s">
        <v>99</v>
      </c>
      <c r="B351" s="2" t="s">
        <v>30</v>
      </c>
      <c r="C351" s="2" t="s">
        <v>14</v>
      </c>
      <c r="D351" s="2" t="s">
        <v>28</v>
      </c>
      <c r="E351" s="2" t="s">
        <v>27</v>
      </c>
      <c r="F351" s="2" t="s">
        <v>1</v>
      </c>
      <c r="G351" s="4">
        <v>311</v>
      </c>
      <c r="H351" s="1">
        <v>2838.25</v>
      </c>
      <c r="I351" s="1">
        <v>2996.75</v>
      </c>
      <c r="J351" s="5">
        <v>44742</v>
      </c>
      <c r="K351" s="5">
        <v>45185</v>
      </c>
      <c r="L351" s="4">
        <v>443</v>
      </c>
      <c r="M351" s="1">
        <v>882695.75</v>
      </c>
      <c r="N351" s="1">
        <v>931989.25</v>
      </c>
      <c r="O351" s="1">
        <v>49293.5</v>
      </c>
      <c r="P351" s="3">
        <v>5.58</v>
      </c>
      <c r="Q351" s="2" t="s">
        <v>0</v>
      </c>
      <c r="R351" s="1">
        <v>0</v>
      </c>
      <c r="S351" s="1">
        <v>0</v>
      </c>
    </row>
    <row r="352" spans="1:19" ht="18" customHeight="1" x14ac:dyDescent="0.3">
      <c r="A352" s="9" t="s">
        <v>98</v>
      </c>
      <c r="B352" s="7" t="s">
        <v>24</v>
      </c>
      <c r="C352" s="7" t="s">
        <v>9</v>
      </c>
      <c r="D352" s="7" t="s">
        <v>22</v>
      </c>
      <c r="E352" s="7" t="s">
        <v>7</v>
      </c>
      <c r="F352" s="7" t="s">
        <v>1</v>
      </c>
      <c r="G352" s="9">
        <v>434</v>
      </c>
      <c r="H352" s="6">
        <v>3120.42</v>
      </c>
      <c r="I352" s="6">
        <v>3200.47</v>
      </c>
      <c r="J352" s="10">
        <v>44645</v>
      </c>
      <c r="K352" s="10">
        <v>45237</v>
      </c>
      <c r="L352" s="9">
        <v>592</v>
      </c>
      <c r="M352" s="6">
        <v>1354262.28</v>
      </c>
      <c r="N352" s="6">
        <v>1389003.98</v>
      </c>
      <c r="O352" s="6">
        <v>34741.699999999997</v>
      </c>
      <c r="P352" s="8">
        <v>2.57</v>
      </c>
      <c r="Q352" s="7" t="s">
        <v>0</v>
      </c>
      <c r="R352" s="6">
        <v>0</v>
      </c>
      <c r="S352" s="6">
        <v>0</v>
      </c>
    </row>
    <row r="353" spans="1:19" ht="18" customHeight="1" x14ac:dyDescent="0.3">
      <c r="A353" s="4" t="s">
        <v>97</v>
      </c>
      <c r="B353" s="2" t="s">
        <v>20</v>
      </c>
      <c r="C353" s="2" t="s">
        <v>4</v>
      </c>
      <c r="D353" s="2" t="s">
        <v>18</v>
      </c>
      <c r="E353" s="2" t="s">
        <v>17</v>
      </c>
      <c r="F353" s="2" t="s">
        <v>1</v>
      </c>
      <c r="G353" s="4">
        <v>473</v>
      </c>
      <c r="H353" s="1">
        <v>1152.04</v>
      </c>
      <c r="I353" s="1">
        <v>1352.1</v>
      </c>
      <c r="J353" s="5">
        <v>44550</v>
      </c>
      <c r="K353" s="5">
        <v>44773</v>
      </c>
      <c r="L353" s="4">
        <v>223</v>
      </c>
      <c r="M353" s="1">
        <v>544914.92000000004</v>
      </c>
      <c r="N353" s="1">
        <v>639543.30000000005</v>
      </c>
      <c r="O353" s="1">
        <v>94628.38</v>
      </c>
      <c r="P353" s="3">
        <v>17.37</v>
      </c>
      <c r="Q353" s="2" t="s">
        <v>26</v>
      </c>
      <c r="R353" s="1">
        <v>14194.26</v>
      </c>
      <c r="S353" s="1">
        <v>0</v>
      </c>
    </row>
    <row r="354" spans="1:19" ht="18" customHeight="1" x14ac:dyDescent="0.3">
      <c r="A354" s="9" t="s">
        <v>96</v>
      </c>
      <c r="B354" s="7" t="s">
        <v>15</v>
      </c>
      <c r="C354" s="7" t="s">
        <v>29</v>
      </c>
      <c r="D354" s="7" t="s">
        <v>13</v>
      </c>
      <c r="E354" s="7" t="s">
        <v>12</v>
      </c>
      <c r="F354" s="7" t="s">
        <v>1</v>
      </c>
      <c r="G354" s="9">
        <v>18</v>
      </c>
      <c r="H354" s="6">
        <v>1974.81</v>
      </c>
      <c r="I354" s="6">
        <v>3132.84</v>
      </c>
      <c r="J354" s="10">
        <v>44876</v>
      </c>
      <c r="K354" s="10">
        <v>44983</v>
      </c>
      <c r="L354" s="9">
        <v>107</v>
      </c>
      <c r="M354" s="6">
        <v>35546.58</v>
      </c>
      <c r="N354" s="6">
        <v>56391.12</v>
      </c>
      <c r="O354" s="6">
        <v>20844.54</v>
      </c>
      <c r="P354" s="8">
        <v>58.64</v>
      </c>
      <c r="Q354" s="7" t="s">
        <v>26</v>
      </c>
      <c r="R354" s="6">
        <v>3126.68</v>
      </c>
      <c r="S354" s="6">
        <v>0</v>
      </c>
    </row>
    <row r="355" spans="1:19" ht="18" customHeight="1" x14ac:dyDescent="0.3">
      <c r="A355" s="4" t="s">
        <v>95</v>
      </c>
      <c r="B355" s="2" t="s">
        <v>10</v>
      </c>
      <c r="C355" s="2" t="s">
        <v>23</v>
      </c>
      <c r="D355" s="2" t="s">
        <v>8</v>
      </c>
      <c r="E355" s="2" t="s">
        <v>7</v>
      </c>
      <c r="F355" s="2" t="s">
        <v>1</v>
      </c>
      <c r="G355" s="4">
        <v>214</v>
      </c>
      <c r="H355" s="1">
        <v>2600.63</v>
      </c>
      <c r="I355" s="1">
        <v>4116.96</v>
      </c>
      <c r="J355" s="5">
        <v>44907</v>
      </c>
      <c r="K355" s="5">
        <v>45501</v>
      </c>
      <c r="L355" s="4">
        <v>594</v>
      </c>
      <c r="M355" s="1">
        <v>556534.81999999995</v>
      </c>
      <c r="N355" s="1">
        <v>881029.44</v>
      </c>
      <c r="O355" s="1">
        <v>324494.62</v>
      </c>
      <c r="P355" s="3">
        <v>58.31</v>
      </c>
      <c r="Q355" s="2" t="s">
        <v>0</v>
      </c>
      <c r="R355" s="1">
        <v>0</v>
      </c>
      <c r="S355" s="1">
        <v>22449.46</v>
      </c>
    </row>
    <row r="356" spans="1:19" ht="18" customHeight="1" x14ac:dyDescent="0.3">
      <c r="A356" s="9" t="s">
        <v>94</v>
      </c>
      <c r="B356" s="7" t="s">
        <v>5</v>
      </c>
      <c r="C356" s="7" t="s">
        <v>19</v>
      </c>
      <c r="D356" s="7" t="s">
        <v>3</v>
      </c>
      <c r="E356" s="7" t="s">
        <v>2</v>
      </c>
      <c r="F356" s="7" t="s">
        <v>1</v>
      </c>
      <c r="G356" s="9">
        <v>426</v>
      </c>
      <c r="H356" s="6">
        <v>665.33</v>
      </c>
      <c r="I356" s="6">
        <v>944.46</v>
      </c>
      <c r="J356" s="10">
        <v>44895</v>
      </c>
      <c r="K356" s="10">
        <v>45626</v>
      </c>
      <c r="L356" s="9">
        <v>731</v>
      </c>
      <c r="M356" s="6">
        <v>283430.58</v>
      </c>
      <c r="N356" s="6">
        <v>402339.96</v>
      </c>
      <c r="O356" s="6">
        <v>118909.38</v>
      </c>
      <c r="P356" s="8">
        <v>41.95</v>
      </c>
      <c r="Q356" s="7" t="s">
        <v>0</v>
      </c>
      <c r="R356" s="6">
        <v>0</v>
      </c>
      <c r="S356" s="6">
        <v>1890.94</v>
      </c>
    </row>
    <row r="357" spans="1:19" ht="18" customHeight="1" x14ac:dyDescent="0.3">
      <c r="A357" s="4" t="s">
        <v>93</v>
      </c>
      <c r="B357" s="2" t="s">
        <v>62</v>
      </c>
      <c r="C357" s="2" t="s">
        <v>14</v>
      </c>
      <c r="D357" s="2" t="s">
        <v>61</v>
      </c>
      <c r="E357" s="2" t="s">
        <v>60</v>
      </c>
      <c r="F357" s="2" t="s">
        <v>1</v>
      </c>
      <c r="G357" s="4">
        <v>243</v>
      </c>
      <c r="H357" s="1">
        <v>2784.56</v>
      </c>
      <c r="I357" s="1">
        <v>2689.59</v>
      </c>
      <c r="J357" s="5">
        <v>44592</v>
      </c>
      <c r="K357" s="5">
        <v>45364</v>
      </c>
      <c r="L357" s="4">
        <v>772</v>
      </c>
      <c r="M357" s="1">
        <v>676648.08</v>
      </c>
      <c r="N357" s="1">
        <v>653570.37</v>
      </c>
      <c r="O357" s="1">
        <v>-23077.71</v>
      </c>
      <c r="P357" s="3">
        <v>-3.41</v>
      </c>
      <c r="Q357" s="2" t="s">
        <v>0</v>
      </c>
      <c r="R357" s="1">
        <v>0</v>
      </c>
      <c r="S357" s="1">
        <v>0</v>
      </c>
    </row>
    <row r="358" spans="1:19" ht="18" customHeight="1" x14ac:dyDescent="0.3">
      <c r="A358" s="9" t="s">
        <v>92</v>
      </c>
      <c r="B358" s="7" t="s">
        <v>58</v>
      </c>
      <c r="C358" s="7" t="s">
        <v>9</v>
      </c>
      <c r="D358" s="7" t="s">
        <v>57</v>
      </c>
      <c r="E358" s="7" t="s">
        <v>56</v>
      </c>
      <c r="F358" s="7" t="s">
        <v>1</v>
      </c>
      <c r="G358" s="9">
        <v>358</v>
      </c>
      <c r="H358" s="6">
        <v>3004.71</v>
      </c>
      <c r="I358" s="6">
        <v>2570.88</v>
      </c>
      <c r="J358" s="10">
        <v>45022</v>
      </c>
      <c r="K358" s="10">
        <v>45600</v>
      </c>
      <c r="L358" s="9">
        <v>578</v>
      </c>
      <c r="M358" s="6">
        <v>1075686.18</v>
      </c>
      <c r="N358" s="6">
        <v>920375.04</v>
      </c>
      <c r="O358" s="6">
        <v>-155311.14000000001</v>
      </c>
      <c r="P358" s="8">
        <v>-14.44</v>
      </c>
      <c r="Q358" s="7" t="s">
        <v>0</v>
      </c>
      <c r="R358" s="6">
        <v>0</v>
      </c>
      <c r="S358" s="6">
        <v>0</v>
      </c>
    </row>
    <row r="359" spans="1:19" ht="18" customHeight="1" x14ac:dyDescent="0.3">
      <c r="A359" s="4" t="s">
        <v>91</v>
      </c>
      <c r="B359" s="2" t="s">
        <v>54</v>
      </c>
      <c r="C359" s="2" t="s">
        <v>4</v>
      </c>
      <c r="D359" s="2" t="s">
        <v>53</v>
      </c>
      <c r="E359" s="2" t="s">
        <v>52</v>
      </c>
      <c r="F359" s="2" t="s">
        <v>1</v>
      </c>
      <c r="G359" s="4">
        <v>448</v>
      </c>
      <c r="H359" s="1">
        <v>2801.65</v>
      </c>
      <c r="I359" s="1">
        <v>4320.07</v>
      </c>
      <c r="J359" s="5">
        <v>44665</v>
      </c>
      <c r="K359" s="5">
        <v>45503</v>
      </c>
      <c r="L359" s="4">
        <v>838</v>
      </c>
      <c r="M359" s="1">
        <v>1255139.2</v>
      </c>
      <c r="N359" s="1">
        <v>1935391.36</v>
      </c>
      <c r="O359" s="1">
        <v>680252.16</v>
      </c>
      <c r="P359" s="3">
        <v>54.2</v>
      </c>
      <c r="Q359" s="2" t="s">
        <v>0</v>
      </c>
      <c r="R359" s="1">
        <v>0</v>
      </c>
      <c r="S359" s="1">
        <v>58025.22</v>
      </c>
    </row>
    <row r="360" spans="1:19" ht="18" customHeight="1" x14ac:dyDescent="0.3">
      <c r="A360" s="9" t="s">
        <v>90</v>
      </c>
      <c r="B360" s="7" t="s">
        <v>50</v>
      </c>
      <c r="C360" s="7" t="s">
        <v>29</v>
      </c>
      <c r="D360" s="7" t="s">
        <v>49</v>
      </c>
      <c r="E360" s="7" t="s">
        <v>48</v>
      </c>
      <c r="F360" s="7" t="s">
        <v>1</v>
      </c>
      <c r="G360" s="9">
        <v>174</v>
      </c>
      <c r="H360" s="6">
        <v>2277.4499999999998</v>
      </c>
      <c r="I360" s="6">
        <v>2952.55</v>
      </c>
      <c r="J360" s="10">
        <v>44469</v>
      </c>
      <c r="K360" s="10">
        <v>44758</v>
      </c>
      <c r="L360" s="9">
        <v>289</v>
      </c>
      <c r="M360" s="6">
        <v>396276.3</v>
      </c>
      <c r="N360" s="6">
        <v>513743.7</v>
      </c>
      <c r="O360" s="6">
        <v>117467.4</v>
      </c>
      <c r="P360" s="8">
        <v>29.64</v>
      </c>
      <c r="Q360" s="7" t="s">
        <v>26</v>
      </c>
      <c r="R360" s="6">
        <v>17620.11</v>
      </c>
      <c r="S360" s="6">
        <v>0</v>
      </c>
    </row>
    <row r="361" spans="1:19" ht="18" customHeight="1" x14ac:dyDescent="0.3">
      <c r="A361" s="4" t="s">
        <v>89</v>
      </c>
      <c r="B361" s="2" t="s">
        <v>46</v>
      </c>
      <c r="C361" s="2" t="s">
        <v>23</v>
      </c>
      <c r="D361" s="2" t="s">
        <v>45</v>
      </c>
      <c r="E361" s="2" t="s">
        <v>44</v>
      </c>
      <c r="F361" s="2" t="s">
        <v>1</v>
      </c>
      <c r="G361" s="4">
        <v>164</v>
      </c>
      <c r="H361" s="1">
        <v>338.43</v>
      </c>
      <c r="I361" s="1">
        <v>488.04</v>
      </c>
      <c r="J361" s="5">
        <v>44979</v>
      </c>
      <c r="K361" s="5">
        <v>45247</v>
      </c>
      <c r="L361" s="4">
        <v>268</v>
      </c>
      <c r="M361" s="1">
        <v>55502.52</v>
      </c>
      <c r="N361" s="1">
        <v>80038.559999999998</v>
      </c>
      <c r="O361" s="1">
        <v>24536.04</v>
      </c>
      <c r="P361" s="3">
        <v>44.21</v>
      </c>
      <c r="Q361" s="2" t="s">
        <v>26</v>
      </c>
      <c r="R361" s="1">
        <v>3680.41</v>
      </c>
      <c r="S361" s="1">
        <v>0</v>
      </c>
    </row>
    <row r="362" spans="1:19" ht="18" customHeight="1" x14ac:dyDescent="0.3">
      <c r="A362" s="9" t="s">
        <v>88</v>
      </c>
      <c r="B362" s="7" t="s">
        <v>42</v>
      </c>
      <c r="C362" s="7" t="s">
        <v>19</v>
      </c>
      <c r="D362" s="7" t="s">
        <v>41</v>
      </c>
      <c r="E362" s="7" t="s">
        <v>12</v>
      </c>
      <c r="F362" s="7" t="s">
        <v>1</v>
      </c>
      <c r="G362" s="9">
        <v>210</v>
      </c>
      <c r="H362" s="6">
        <v>2755.47</v>
      </c>
      <c r="I362" s="6">
        <v>2239.21</v>
      </c>
      <c r="J362" s="10">
        <v>45076</v>
      </c>
      <c r="K362" s="10">
        <v>45621</v>
      </c>
      <c r="L362" s="9">
        <v>545</v>
      </c>
      <c r="M362" s="6">
        <v>578648.69999999995</v>
      </c>
      <c r="N362" s="6">
        <v>470234.1</v>
      </c>
      <c r="O362" s="6">
        <v>-108414.6</v>
      </c>
      <c r="P362" s="8">
        <v>-18.739999999999998</v>
      </c>
      <c r="Q362" s="7" t="s">
        <v>0</v>
      </c>
      <c r="R362" s="6">
        <v>0</v>
      </c>
      <c r="S362" s="6">
        <v>0</v>
      </c>
    </row>
    <row r="363" spans="1:19" ht="18" customHeight="1" x14ac:dyDescent="0.3">
      <c r="A363" s="4" t="s">
        <v>87</v>
      </c>
      <c r="B363" s="2" t="s">
        <v>39</v>
      </c>
      <c r="C363" s="2" t="s">
        <v>14</v>
      </c>
      <c r="D363" s="2" t="s">
        <v>38</v>
      </c>
      <c r="E363" s="2" t="s">
        <v>7</v>
      </c>
      <c r="F363" s="2" t="s">
        <v>1</v>
      </c>
      <c r="G363" s="4">
        <v>350</v>
      </c>
      <c r="H363" s="1">
        <v>2588.5500000000002</v>
      </c>
      <c r="I363" s="1">
        <v>2880.71</v>
      </c>
      <c r="J363" s="5">
        <v>44660</v>
      </c>
      <c r="K363" s="5">
        <v>45423</v>
      </c>
      <c r="L363" s="4">
        <v>763</v>
      </c>
      <c r="M363" s="1">
        <v>905992.5</v>
      </c>
      <c r="N363" s="1">
        <v>1008248.5</v>
      </c>
      <c r="O363" s="1">
        <v>102256</v>
      </c>
      <c r="P363" s="3">
        <v>11.29</v>
      </c>
      <c r="Q363" s="2" t="s">
        <v>0</v>
      </c>
      <c r="R363" s="1">
        <v>0</v>
      </c>
      <c r="S363" s="1">
        <v>225.6</v>
      </c>
    </row>
    <row r="364" spans="1:19" ht="18" customHeight="1" x14ac:dyDescent="0.3">
      <c r="A364" s="9" t="s">
        <v>86</v>
      </c>
      <c r="B364" s="7" t="s">
        <v>36</v>
      </c>
      <c r="C364" s="7" t="s">
        <v>9</v>
      </c>
      <c r="D364" s="7" t="s">
        <v>35</v>
      </c>
      <c r="E364" s="7" t="s">
        <v>12</v>
      </c>
      <c r="F364" s="7" t="s">
        <v>1</v>
      </c>
      <c r="G364" s="9">
        <v>101</v>
      </c>
      <c r="H364" s="6">
        <v>1645.09</v>
      </c>
      <c r="I364" s="6">
        <v>2296.02</v>
      </c>
      <c r="J364" s="10">
        <v>44946</v>
      </c>
      <c r="K364" s="10">
        <v>45189</v>
      </c>
      <c r="L364" s="9">
        <v>243</v>
      </c>
      <c r="M364" s="6">
        <v>166154.09</v>
      </c>
      <c r="N364" s="6">
        <v>231898.02</v>
      </c>
      <c r="O364" s="6">
        <v>65743.929999999993</v>
      </c>
      <c r="P364" s="8">
        <v>39.57</v>
      </c>
      <c r="Q364" s="7" t="s">
        <v>26</v>
      </c>
      <c r="R364" s="6">
        <v>9861.59</v>
      </c>
      <c r="S364" s="6">
        <v>0</v>
      </c>
    </row>
    <row r="365" spans="1:19" ht="18" customHeight="1" x14ac:dyDescent="0.3">
      <c r="A365" s="4" t="s">
        <v>85</v>
      </c>
      <c r="B365" s="2" t="s">
        <v>33</v>
      </c>
      <c r="C365" s="2" t="s">
        <v>4</v>
      </c>
      <c r="D365" s="2" t="s">
        <v>32</v>
      </c>
      <c r="E365" s="2" t="s">
        <v>7</v>
      </c>
      <c r="F365" s="2" t="s">
        <v>1</v>
      </c>
      <c r="G365" s="4">
        <v>156</v>
      </c>
      <c r="H365" s="1">
        <v>2593.94</v>
      </c>
      <c r="I365" s="1">
        <v>3392.34</v>
      </c>
      <c r="J365" s="5">
        <v>44345</v>
      </c>
      <c r="K365" s="5">
        <v>44435</v>
      </c>
      <c r="L365" s="4">
        <v>90</v>
      </c>
      <c r="M365" s="1">
        <v>404654.64</v>
      </c>
      <c r="N365" s="1">
        <v>529205.04</v>
      </c>
      <c r="O365" s="1">
        <v>124550.39999999999</v>
      </c>
      <c r="P365" s="3">
        <v>30.78</v>
      </c>
      <c r="Q365" s="2" t="s">
        <v>26</v>
      </c>
      <c r="R365" s="1">
        <v>18682.560000000001</v>
      </c>
      <c r="S365" s="1">
        <v>0</v>
      </c>
    </row>
    <row r="366" spans="1:19" ht="18" customHeight="1" x14ac:dyDescent="0.3">
      <c r="A366" s="9" t="s">
        <v>84</v>
      </c>
      <c r="B366" s="7" t="s">
        <v>30</v>
      </c>
      <c r="C366" s="7" t="s">
        <v>29</v>
      </c>
      <c r="D366" s="7" t="s">
        <v>28</v>
      </c>
      <c r="E366" s="7" t="s">
        <v>27</v>
      </c>
      <c r="F366" s="7" t="s">
        <v>1</v>
      </c>
      <c r="G366" s="9">
        <v>91</v>
      </c>
      <c r="H366" s="6">
        <v>1349.85</v>
      </c>
      <c r="I366" s="6">
        <v>1593.4</v>
      </c>
      <c r="J366" s="10">
        <v>44822</v>
      </c>
      <c r="K366" s="10">
        <v>45373</v>
      </c>
      <c r="L366" s="9">
        <v>551</v>
      </c>
      <c r="M366" s="6">
        <v>122836.35</v>
      </c>
      <c r="N366" s="6">
        <v>144999.4</v>
      </c>
      <c r="O366" s="6">
        <v>22163.05</v>
      </c>
      <c r="P366" s="8">
        <v>18.04</v>
      </c>
      <c r="Q366" s="7" t="s">
        <v>0</v>
      </c>
      <c r="R366" s="6">
        <v>0</v>
      </c>
      <c r="S366" s="6">
        <v>0</v>
      </c>
    </row>
    <row r="367" spans="1:19" ht="18" customHeight="1" x14ac:dyDescent="0.3">
      <c r="A367" s="4" t="s">
        <v>83</v>
      </c>
      <c r="B367" s="2" t="s">
        <v>24</v>
      </c>
      <c r="C367" s="2" t="s">
        <v>23</v>
      </c>
      <c r="D367" s="2" t="s">
        <v>22</v>
      </c>
      <c r="E367" s="2" t="s">
        <v>7</v>
      </c>
      <c r="F367" s="2" t="s">
        <v>1</v>
      </c>
      <c r="G367" s="4">
        <v>123</v>
      </c>
      <c r="H367" s="1">
        <v>1492.68</v>
      </c>
      <c r="I367" s="1">
        <v>1774.33</v>
      </c>
      <c r="J367" s="5">
        <v>44413</v>
      </c>
      <c r="K367" s="5">
        <v>44657</v>
      </c>
      <c r="L367" s="4">
        <v>244</v>
      </c>
      <c r="M367" s="1">
        <v>183599.64</v>
      </c>
      <c r="N367" s="1">
        <v>218242.59</v>
      </c>
      <c r="O367" s="1">
        <v>34642.949999999997</v>
      </c>
      <c r="P367" s="3">
        <v>18.87</v>
      </c>
      <c r="Q367" s="2" t="s">
        <v>26</v>
      </c>
      <c r="R367" s="1">
        <v>5196.4399999999996</v>
      </c>
      <c r="S367" s="1">
        <v>0</v>
      </c>
    </row>
    <row r="368" spans="1:19" ht="18" customHeight="1" x14ac:dyDescent="0.3">
      <c r="A368" s="9" t="s">
        <v>82</v>
      </c>
      <c r="B368" s="7" t="s">
        <v>20</v>
      </c>
      <c r="C368" s="7" t="s">
        <v>19</v>
      </c>
      <c r="D368" s="7" t="s">
        <v>18</v>
      </c>
      <c r="E368" s="7" t="s">
        <v>17</v>
      </c>
      <c r="F368" s="7" t="s">
        <v>1</v>
      </c>
      <c r="G368" s="9">
        <v>205</v>
      </c>
      <c r="H368" s="6">
        <v>3358.89</v>
      </c>
      <c r="I368" s="6">
        <v>4289.68</v>
      </c>
      <c r="J368" s="10">
        <v>44209</v>
      </c>
      <c r="K368" s="10">
        <v>45009</v>
      </c>
      <c r="L368" s="9">
        <v>800</v>
      </c>
      <c r="M368" s="6">
        <v>688572.45</v>
      </c>
      <c r="N368" s="6">
        <v>879384.4</v>
      </c>
      <c r="O368" s="6">
        <v>190811.95</v>
      </c>
      <c r="P368" s="8">
        <v>27.71</v>
      </c>
      <c r="Q368" s="7" t="s">
        <v>0</v>
      </c>
      <c r="R368" s="6">
        <v>0</v>
      </c>
      <c r="S368" s="6">
        <v>9081.2000000000007</v>
      </c>
    </row>
    <row r="369" spans="1:19" ht="18" customHeight="1" x14ac:dyDescent="0.3">
      <c r="A369" s="4" t="s">
        <v>81</v>
      </c>
      <c r="B369" s="2" t="s">
        <v>15</v>
      </c>
      <c r="C369" s="2" t="s">
        <v>14</v>
      </c>
      <c r="D369" s="2" t="s">
        <v>13</v>
      </c>
      <c r="E369" s="2" t="s">
        <v>12</v>
      </c>
      <c r="F369" s="2" t="s">
        <v>1</v>
      </c>
      <c r="G369" s="4">
        <v>15</v>
      </c>
      <c r="H369" s="1">
        <v>925.34</v>
      </c>
      <c r="I369" s="1">
        <v>1452.2</v>
      </c>
      <c r="J369" s="5">
        <v>44809</v>
      </c>
      <c r="K369" s="5">
        <v>45431</v>
      </c>
      <c r="L369" s="4">
        <v>622</v>
      </c>
      <c r="M369" s="1">
        <v>13880.1</v>
      </c>
      <c r="N369" s="1">
        <v>21783</v>
      </c>
      <c r="O369" s="1">
        <v>7902.9</v>
      </c>
      <c r="P369" s="3">
        <v>56.94</v>
      </c>
      <c r="Q369" s="2" t="s">
        <v>0</v>
      </c>
      <c r="R369" s="1">
        <v>0</v>
      </c>
      <c r="S369" s="1">
        <v>0</v>
      </c>
    </row>
    <row r="370" spans="1:19" ht="18" customHeight="1" x14ac:dyDescent="0.3">
      <c r="A370" s="9" t="s">
        <v>80</v>
      </c>
      <c r="B370" s="7" t="s">
        <v>10</v>
      </c>
      <c r="C370" s="7" t="s">
        <v>9</v>
      </c>
      <c r="D370" s="7" t="s">
        <v>8</v>
      </c>
      <c r="E370" s="7" t="s">
        <v>7</v>
      </c>
      <c r="F370" s="7" t="s">
        <v>1</v>
      </c>
      <c r="G370" s="9">
        <v>331</v>
      </c>
      <c r="H370" s="6">
        <v>1213.21</v>
      </c>
      <c r="I370" s="6">
        <v>998</v>
      </c>
      <c r="J370" s="10">
        <v>44640</v>
      </c>
      <c r="K370" s="10">
        <v>45314</v>
      </c>
      <c r="L370" s="9">
        <v>674</v>
      </c>
      <c r="M370" s="6">
        <v>401572.51</v>
      </c>
      <c r="N370" s="6">
        <v>330338</v>
      </c>
      <c r="O370" s="6">
        <v>-71234.509999999995</v>
      </c>
      <c r="P370" s="8">
        <v>-17.739999999999998</v>
      </c>
      <c r="Q370" s="7" t="s">
        <v>0</v>
      </c>
      <c r="R370" s="6">
        <v>0</v>
      </c>
      <c r="S370" s="6">
        <v>0</v>
      </c>
    </row>
    <row r="371" spans="1:19" ht="18" customHeight="1" x14ac:dyDescent="0.3">
      <c r="A371" s="4" t="s">
        <v>79</v>
      </c>
      <c r="B371" s="2" t="s">
        <v>5</v>
      </c>
      <c r="C371" s="2" t="s">
        <v>4</v>
      </c>
      <c r="D371" s="2" t="s">
        <v>3</v>
      </c>
      <c r="E371" s="2" t="s">
        <v>2</v>
      </c>
      <c r="F371" s="2" t="s">
        <v>1</v>
      </c>
      <c r="G371" s="4">
        <v>125</v>
      </c>
      <c r="H371" s="1">
        <v>2195.61</v>
      </c>
      <c r="I371" s="1">
        <v>2968.03</v>
      </c>
      <c r="J371" s="5">
        <v>44890</v>
      </c>
      <c r="K371" s="5">
        <v>44940</v>
      </c>
      <c r="L371" s="4">
        <v>50</v>
      </c>
      <c r="M371" s="1">
        <v>274451.25</v>
      </c>
      <c r="N371" s="1">
        <v>371003.75</v>
      </c>
      <c r="O371" s="1">
        <v>96552.5</v>
      </c>
      <c r="P371" s="3">
        <v>35.18</v>
      </c>
      <c r="Q371" s="2" t="s">
        <v>26</v>
      </c>
      <c r="R371" s="1">
        <v>14482.88</v>
      </c>
      <c r="S371" s="1">
        <v>0</v>
      </c>
    </row>
    <row r="372" spans="1:19" ht="18" customHeight="1" x14ac:dyDescent="0.3">
      <c r="A372" s="9" t="s">
        <v>78</v>
      </c>
      <c r="B372" s="7" t="s">
        <v>62</v>
      </c>
      <c r="C372" s="7" t="s">
        <v>29</v>
      </c>
      <c r="D372" s="7" t="s">
        <v>61</v>
      </c>
      <c r="E372" s="7" t="s">
        <v>60</v>
      </c>
      <c r="F372" s="7" t="s">
        <v>1</v>
      </c>
      <c r="G372" s="9">
        <v>50</v>
      </c>
      <c r="H372" s="6">
        <v>3457.06</v>
      </c>
      <c r="I372" s="6">
        <v>4326.1499999999996</v>
      </c>
      <c r="J372" s="10">
        <v>44258</v>
      </c>
      <c r="K372" s="10">
        <v>44581</v>
      </c>
      <c r="L372" s="9">
        <v>323</v>
      </c>
      <c r="M372" s="6">
        <v>172853</v>
      </c>
      <c r="N372" s="6">
        <v>216307.5</v>
      </c>
      <c r="O372" s="6">
        <v>43454.5</v>
      </c>
      <c r="P372" s="8">
        <v>25.14</v>
      </c>
      <c r="Q372" s="7" t="s">
        <v>26</v>
      </c>
      <c r="R372" s="6">
        <v>6518.18</v>
      </c>
      <c r="S372" s="6">
        <v>0</v>
      </c>
    </row>
    <row r="373" spans="1:19" ht="18" customHeight="1" x14ac:dyDescent="0.3">
      <c r="A373" s="4" t="s">
        <v>77</v>
      </c>
      <c r="B373" s="2" t="s">
        <v>58</v>
      </c>
      <c r="C373" s="2" t="s">
        <v>23</v>
      </c>
      <c r="D373" s="2" t="s">
        <v>57</v>
      </c>
      <c r="E373" s="2" t="s">
        <v>56</v>
      </c>
      <c r="F373" s="2" t="s">
        <v>1</v>
      </c>
      <c r="G373" s="4">
        <v>224</v>
      </c>
      <c r="H373" s="1">
        <v>254.68</v>
      </c>
      <c r="I373" s="1">
        <v>294.69</v>
      </c>
      <c r="J373" s="5">
        <v>44919</v>
      </c>
      <c r="K373" s="5">
        <v>44982</v>
      </c>
      <c r="L373" s="4">
        <v>63</v>
      </c>
      <c r="M373" s="1">
        <v>57048.32</v>
      </c>
      <c r="N373" s="1">
        <v>66010.559999999998</v>
      </c>
      <c r="O373" s="1">
        <v>8962.24</v>
      </c>
      <c r="P373" s="3">
        <v>15.71</v>
      </c>
      <c r="Q373" s="2" t="s">
        <v>26</v>
      </c>
      <c r="R373" s="1">
        <v>1344.34</v>
      </c>
      <c r="S373" s="1">
        <v>0</v>
      </c>
    </row>
    <row r="374" spans="1:19" ht="18" customHeight="1" x14ac:dyDescent="0.3">
      <c r="A374" s="9" t="s">
        <v>76</v>
      </c>
      <c r="B374" s="7" t="s">
        <v>54</v>
      </c>
      <c r="C374" s="7" t="s">
        <v>19</v>
      </c>
      <c r="D374" s="7" t="s">
        <v>53</v>
      </c>
      <c r="E374" s="7" t="s">
        <v>52</v>
      </c>
      <c r="F374" s="7" t="s">
        <v>1</v>
      </c>
      <c r="G374" s="9">
        <v>323</v>
      </c>
      <c r="H374" s="6">
        <v>657.95</v>
      </c>
      <c r="I374" s="6">
        <v>529.22</v>
      </c>
      <c r="J374" s="10">
        <v>44493</v>
      </c>
      <c r="K374" s="10">
        <v>44896</v>
      </c>
      <c r="L374" s="9">
        <v>403</v>
      </c>
      <c r="M374" s="6">
        <v>212517.85</v>
      </c>
      <c r="N374" s="6">
        <v>170938.06</v>
      </c>
      <c r="O374" s="6">
        <v>-41579.79</v>
      </c>
      <c r="P374" s="8">
        <v>-19.57</v>
      </c>
      <c r="Q374" s="7" t="s">
        <v>0</v>
      </c>
      <c r="R374" s="6">
        <v>0</v>
      </c>
      <c r="S374" s="6">
        <v>0</v>
      </c>
    </row>
    <row r="375" spans="1:19" ht="18" customHeight="1" x14ac:dyDescent="0.3">
      <c r="A375" s="4" t="s">
        <v>75</v>
      </c>
      <c r="B375" s="2" t="s">
        <v>50</v>
      </c>
      <c r="C375" s="2" t="s">
        <v>14</v>
      </c>
      <c r="D375" s="2" t="s">
        <v>49</v>
      </c>
      <c r="E375" s="2" t="s">
        <v>48</v>
      </c>
      <c r="F375" s="2" t="s">
        <v>1</v>
      </c>
      <c r="G375" s="4">
        <v>396</v>
      </c>
      <c r="H375" s="1">
        <v>2431.6999999999998</v>
      </c>
      <c r="I375" s="1">
        <v>2136.54</v>
      </c>
      <c r="J375" s="5">
        <v>45059</v>
      </c>
      <c r="K375" s="5">
        <v>45467</v>
      </c>
      <c r="L375" s="4">
        <v>408</v>
      </c>
      <c r="M375" s="1">
        <v>962953.2</v>
      </c>
      <c r="N375" s="1">
        <v>846069.84</v>
      </c>
      <c r="O375" s="1">
        <v>-116883.36</v>
      </c>
      <c r="P375" s="3">
        <v>-12.14</v>
      </c>
      <c r="Q375" s="2" t="s">
        <v>0</v>
      </c>
      <c r="R375" s="1">
        <v>0</v>
      </c>
      <c r="S375" s="1">
        <v>0</v>
      </c>
    </row>
    <row r="376" spans="1:19" ht="18" customHeight="1" x14ac:dyDescent="0.3">
      <c r="A376" s="9" t="s">
        <v>74</v>
      </c>
      <c r="B376" s="7" t="s">
        <v>46</v>
      </c>
      <c r="C376" s="7" t="s">
        <v>9</v>
      </c>
      <c r="D376" s="7" t="s">
        <v>45</v>
      </c>
      <c r="E376" s="7" t="s">
        <v>44</v>
      </c>
      <c r="F376" s="7" t="s">
        <v>1</v>
      </c>
      <c r="G376" s="9">
        <v>225</v>
      </c>
      <c r="H376" s="6">
        <v>1443.02</v>
      </c>
      <c r="I376" s="6">
        <v>1238.46</v>
      </c>
      <c r="J376" s="10">
        <v>44197</v>
      </c>
      <c r="K376" s="10">
        <v>44434</v>
      </c>
      <c r="L376" s="9">
        <v>237</v>
      </c>
      <c r="M376" s="6">
        <v>324679.5</v>
      </c>
      <c r="N376" s="6">
        <v>278653.5</v>
      </c>
      <c r="O376" s="6">
        <v>-46026</v>
      </c>
      <c r="P376" s="8">
        <v>-14.18</v>
      </c>
      <c r="Q376" s="7" t="s">
        <v>26</v>
      </c>
      <c r="R376" s="6">
        <v>0</v>
      </c>
      <c r="S376" s="6">
        <v>0</v>
      </c>
    </row>
    <row r="377" spans="1:19" ht="18" customHeight="1" x14ac:dyDescent="0.3">
      <c r="A377" s="4" t="s">
        <v>73</v>
      </c>
      <c r="B377" s="2" t="s">
        <v>42</v>
      </c>
      <c r="C377" s="2" t="s">
        <v>4</v>
      </c>
      <c r="D377" s="2" t="s">
        <v>41</v>
      </c>
      <c r="E377" s="2" t="s">
        <v>12</v>
      </c>
      <c r="F377" s="2" t="s">
        <v>1</v>
      </c>
      <c r="G377" s="4">
        <v>123</v>
      </c>
      <c r="H377" s="1">
        <v>801.45</v>
      </c>
      <c r="I377" s="1">
        <v>1199.67</v>
      </c>
      <c r="J377" s="5">
        <v>44427</v>
      </c>
      <c r="K377" s="5">
        <v>44650</v>
      </c>
      <c r="L377" s="4">
        <v>223</v>
      </c>
      <c r="M377" s="1">
        <v>98578.35</v>
      </c>
      <c r="N377" s="1">
        <v>147559.41</v>
      </c>
      <c r="O377" s="1">
        <v>48981.06</v>
      </c>
      <c r="P377" s="3">
        <v>49.69</v>
      </c>
      <c r="Q377" s="2" t="s">
        <v>26</v>
      </c>
      <c r="R377" s="1">
        <v>7347.16</v>
      </c>
      <c r="S377" s="1">
        <v>0</v>
      </c>
    </row>
    <row r="378" spans="1:19" ht="18" customHeight="1" x14ac:dyDescent="0.3">
      <c r="A378" s="9" t="s">
        <v>72</v>
      </c>
      <c r="B378" s="7" t="s">
        <v>39</v>
      </c>
      <c r="C378" s="7" t="s">
        <v>29</v>
      </c>
      <c r="D378" s="7" t="s">
        <v>38</v>
      </c>
      <c r="E378" s="7" t="s">
        <v>7</v>
      </c>
      <c r="F378" s="7" t="s">
        <v>1</v>
      </c>
      <c r="G378" s="9">
        <v>112</v>
      </c>
      <c r="H378" s="6">
        <v>2335.71</v>
      </c>
      <c r="I378" s="6">
        <v>3265.8</v>
      </c>
      <c r="J378" s="10">
        <v>44829</v>
      </c>
      <c r="K378" s="10">
        <v>45624</v>
      </c>
      <c r="L378" s="9">
        <v>795</v>
      </c>
      <c r="M378" s="6">
        <v>261599.52</v>
      </c>
      <c r="N378" s="6">
        <v>365769.6</v>
      </c>
      <c r="O378" s="6">
        <v>104170.08</v>
      </c>
      <c r="P378" s="8">
        <v>39.82</v>
      </c>
      <c r="Q378" s="7" t="s">
        <v>0</v>
      </c>
      <c r="R378" s="6">
        <v>0</v>
      </c>
      <c r="S378" s="6">
        <v>417.01</v>
      </c>
    </row>
    <row r="379" spans="1:19" ht="18" customHeight="1" x14ac:dyDescent="0.3">
      <c r="A379" s="4" t="s">
        <v>71</v>
      </c>
      <c r="B379" s="2" t="s">
        <v>36</v>
      </c>
      <c r="C379" s="2" t="s">
        <v>23</v>
      </c>
      <c r="D379" s="2" t="s">
        <v>35</v>
      </c>
      <c r="E379" s="2" t="s">
        <v>12</v>
      </c>
      <c r="F379" s="2" t="s">
        <v>1</v>
      </c>
      <c r="G379" s="4">
        <v>21</v>
      </c>
      <c r="H379" s="1">
        <v>1953.47</v>
      </c>
      <c r="I379" s="1">
        <v>1630.62</v>
      </c>
      <c r="J379" s="5">
        <v>45035</v>
      </c>
      <c r="K379" s="5">
        <v>45850</v>
      </c>
      <c r="L379" s="4">
        <v>815</v>
      </c>
      <c r="M379" s="1">
        <v>41022.870000000003</v>
      </c>
      <c r="N379" s="1">
        <v>34243.019999999997</v>
      </c>
      <c r="O379" s="1">
        <v>-6779.85</v>
      </c>
      <c r="P379" s="3">
        <v>-16.53</v>
      </c>
      <c r="Q379" s="2" t="s">
        <v>0</v>
      </c>
      <c r="R379" s="1">
        <v>0</v>
      </c>
      <c r="S379" s="1">
        <v>0</v>
      </c>
    </row>
    <row r="380" spans="1:19" ht="18" customHeight="1" x14ac:dyDescent="0.3">
      <c r="A380" s="9" t="s">
        <v>70</v>
      </c>
      <c r="B380" s="7" t="s">
        <v>33</v>
      </c>
      <c r="C380" s="7" t="s">
        <v>19</v>
      </c>
      <c r="D380" s="7" t="s">
        <v>32</v>
      </c>
      <c r="E380" s="7" t="s">
        <v>7</v>
      </c>
      <c r="F380" s="7" t="s">
        <v>1</v>
      </c>
      <c r="G380" s="9">
        <v>483</v>
      </c>
      <c r="H380" s="6">
        <v>1073.8399999999999</v>
      </c>
      <c r="I380" s="6">
        <v>1220.02</v>
      </c>
      <c r="J380" s="10">
        <v>44541</v>
      </c>
      <c r="K380" s="10">
        <v>45082</v>
      </c>
      <c r="L380" s="9">
        <v>541</v>
      </c>
      <c r="M380" s="6">
        <v>518664.72</v>
      </c>
      <c r="N380" s="6">
        <v>589269.66</v>
      </c>
      <c r="O380" s="6">
        <v>70604.94</v>
      </c>
      <c r="P380" s="8">
        <v>13.61</v>
      </c>
      <c r="Q380" s="7" t="s">
        <v>0</v>
      </c>
      <c r="R380" s="6">
        <v>0</v>
      </c>
      <c r="S380" s="6">
        <v>0</v>
      </c>
    </row>
    <row r="381" spans="1:19" ht="18" customHeight="1" x14ac:dyDescent="0.3">
      <c r="A381" s="4" t="s">
        <v>69</v>
      </c>
      <c r="B381" s="2" t="s">
        <v>30</v>
      </c>
      <c r="C381" s="2" t="s">
        <v>14</v>
      </c>
      <c r="D381" s="2" t="s">
        <v>28</v>
      </c>
      <c r="E381" s="2" t="s">
        <v>27</v>
      </c>
      <c r="F381" s="2" t="s">
        <v>1</v>
      </c>
      <c r="G381" s="4">
        <v>442</v>
      </c>
      <c r="H381" s="1">
        <v>692.62</v>
      </c>
      <c r="I381" s="1">
        <v>763.02</v>
      </c>
      <c r="J381" s="5">
        <v>44667</v>
      </c>
      <c r="K381" s="5">
        <v>45344</v>
      </c>
      <c r="L381" s="4">
        <v>677</v>
      </c>
      <c r="M381" s="1">
        <v>306138.03999999998</v>
      </c>
      <c r="N381" s="1">
        <v>337254.84</v>
      </c>
      <c r="O381" s="1">
        <v>31116.799999999999</v>
      </c>
      <c r="P381" s="3">
        <v>10.16</v>
      </c>
      <c r="Q381" s="2" t="s">
        <v>0</v>
      </c>
      <c r="R381" s="1">
        <v>0</v>
      </c>
      <c r="S381" s="1">
        <v>0</v>
      </c>
    </row>
    <row r="382" spans="1:19" ht="18" customHeight="1" x14ac:dyDescent="0.3">
      <c r="A382" s="9" t="s">
        <v>68</v>
      </c>
      <c r="B382" s="7" t="s">
        <v>24</v>
      </c>
      <c r="C382" s="7" t="s">
        <v>9</v>
      </c>
      <c r="D382" s="7" t="s">
        <v>22</v>
      </c>
      <c r="E382" s="7" t="s">
        <v>7</v>
      </c>
      <c r="F382" s="7" t="s">
        <v>1</v>
      </c>
      <c r="G382" s="9">
        <v>64</v>
      </c>
      <c r="H382" s="6">
        <v>610.89</v>
      </c>
      <c r="I382" s="6">
        <v>443.74</v>
      </c>
      <c r="J382" s="10">
        <v>44808</v>
      </c>
      <c r="K382" s="10">
        <v>45196</v>
      </c>
      <c r="L382" s="9">
        <v>388</v>
      </c>
      <c r="M382" s="6">
        <v>39096.959999999999</v>
      </c>
      <c r="N382" s="6">
        <v>28399.360000000001</v>
      </c>
      <c r="O382" s="6">
        <v>-10697.6</v>
      </c>
      <c r="P382" s="8">
        <v>-27.36</v>
      </c>
      <c r="Q382" s="7" t="s">
        <v>0</v>
      </c>
      <c r="R382" s="6">
        <v>0</v>
      </c>
      <c r="S382" s="6">
        <v>0</v>
      </c>
    </row>
    <row r="383" spans="1:19" ht="18" customHeight="1" x14ac:dyDescent="0.3">
      <c r="A383" s="4" t="s">
        <v>67</v>
      </c>
      <c r="B383" s="2" t="s">
        <v>20</v>
      </c>
      <c r="C383" s="2" t="s">
        <v>4</v>
      </c>
      <c r="D383" s="2" t="s">
        <v>18</v>
      </c>
      <c r="E383" s="2" t="s">
        <v>17</v>
      </c>
      <c r="F383" s="2" t="s">
        <v>1</v>
      </c>
      <c r="G383" s="4">
        <v>101</v>
      </c>
      <c r="H383" s="1">
        <v>99.57</v>
      </c>
      <c r="I383" s="1">
        <v>153.16999999999999</v>
      </c>
      <c r="J383" s="5">
        <v>44399</v>
      </c>
      <c r="K383" s="5">
        <v>44515</v>
      </c>
      <c r="L383" s="4">
        <v>116</v>
      </c>
      <c r="M383" s="1">
        <v>10056.57</v>
      </c>
      <c r="N383" s="1">
        <v>15470.17</v>
      </c>
      <c r="O383" s="1">
        <v>5413.6</v>
      </c>
      <c r="P383" s="3">
        <v>53.83</v>
      </c>
      <c r="Q383" s="2" t="s">
        <v>26</v>
      </c>
      <c r="R383" s="1">
        <v>812.04</v>
      </c>
      <c r="S383" s="1">
        <v>0</v>
      </c>
    </row>
    <row r="384" spans="1:19" ht="18" customHeight="1" x14ac:dyDescent="0.3">
      <c r="A384" s="9" t="s">
        <v>66</v>
      </c>
      <c r="B384" s="7" t="s">
        <v>15</v>
      </c>
      <c r="C384" s="7" t="s">
        <v>29</v>
      </c>
      <c r="D384" s="7" t="s">
        <v>13</v>
      </c>
      <c r="E384" s="7" t="s">
        <v>12</v>
      </c>
      <c r="F384" s="7" t="s">
        <v>1</v>
      </c>
      <c r="G384" s="9">
        <v>179</v>
      </c>
      <c r="H384" s="6">
        <v>932.44</v>
      </c>
      <c r="I384" s="6">
        <v>995.18</v>
      </c>
      <c r="J384" s="10">
        <v>44529</v>
      </c>
      <c r="K384" s="10">
        <v>45317</v>
      </c>
      <c r="L384" s="9">
        <v>788</v>
      </c>
      <c r="M384" s="6">
        <v>166906.76</v>
      </c>
      <c r="N384" s="6">
        <v>178137.22</v>
      </c>
      <c r="O384" s="6">
        <v>11230.46</v>
      </c>
      <c r="P384" s="8">
        <v>6.73</v>
      </c>
      <c r="Q384" s="7" t="s">
        <v>0</v>
      </c>
      <c r="R384" s="6">
        <v>0</v>
      </c>
      <c r="S384" s="6">
        <v>0</v>
      </c>
    </row>
    <row r="385" spans="1:19" ht="18" customHeight="1" x14ac:dyDescent="0.3">
      <c r="A385" s="4" t="s">
        <v>65</v>
      </c>
      <c r="B385" s="2" t="s">
        <v>10</v>
      </c>
      <c r="C385" s="2" t="s">
        <v>23</v>
      </c>
      <c r="D385" s="2" t="s">
        <v>8</v>
      </c>
      <c r="E385" s="2" t="s">
        <v>7</v>
      </c>
      <c r="F385" s="2" t="s">
        <v>1</v>
      </c>
      <c r="G385" s="4">
        <v>490</v>
      </c>
      <c r="H385" s="1">
        <v>2909.96</v>
      </c>
      <c r="I385" s="1">
        <v>3833.84</v>
      </c>
      <c r="J385" s="5">
        <v>44758</v>
      </c>
      <c r="K385" s="5">
        <v>45222</v>
      </c>
      <c r="L385" s="4">
        <v>464</v>
      </c>
      <c r="M385" s="1">
        <v>1425880.4</v>
      </c>
      <c r="N385" s="1">
        <v>1878581.6</v>
      </c>
      <c r="O385" s="1">
        <v>452701.2</v>
      </c>
      <c r="P385" s="3">
        <v>31.75</v>
      </c>
      <c r="Q385" s="2" t="s">
        <v>0</v>
      </c>
      <c r="R385" s="1">
        <v>0</v>
      </c>
      <c r="S385" s="1">
        <v>35270.120000000003</v>
      </c>
    </row>
    <row r="386" spans="1:19" ht="18" customHeight="1" x14ac:dyDescent="0.3">
      <c r="A386" s="9" t="s">
        <v>64</v>
      </c>
      <c r="B386" s="7" t="s">
        <v>5</v>
      </c>
      <c r="C386" s="7" t="s">
        <v>19</v>
      </c>
      <c r="D386" s="7" t="s">
        <v>3</v>
      </c>
      <c r="E386" s="7" t="s">
        <v>2</v>
      </c>
      <c r="F386" s="7" t="s">
        <v>1</v>
      </c>
      <c r="G386" s="9">
        <v>32</v>
      </c>
      <c r="H386" s="6">
        <v>2701.42</v>
      </c>
      <c r="I386" s="6">
        <v>2780.99</v>
      </c>
      <c r="J386" s="10">
        <v>44291</v>
      </c>
      <c r="K386" s="10">
        <v>44895</v>
      </c>
      <c r="L386" s="9">
        <v>604</v>
      </c>
      <c r="M386" s="6">
        <v>86445.440000000002</v>
      </c>
      <c r="N386" s="6">
        <v>88991.679999999993</v>
      </c>
      <c r="O386" s="6">
        <v>2546.2399999999998</v>
      </c>
      <c r="P386" s="8">
        <v>2.95</v>
      </c>
      <c r="Q386" s="7" t="s">
        <v>0</v>
      </c>
      <c r="R386" s="6">
        <v>0</v>
      </c>
      <c r="S386" s="6">
        <v>0</v>
      </c>
    </row>
    <row r="387" spans="1:19" ht="18" customHeight="1" x14ac:dyDescent="0.3">
      <c r="A387" s="4" t="s">
        <v>63</v>
      </c>
      <c r="B387" s="2" t="s">
        <v>62</v>
      </c>
      <c r="C387" s="2" t="s">
        <v>14</v>
      </c>
      <c r="D387" s="2" t="s">
        <v>61</v>
      </c>
      <c r="E387" s="2" t="s">
        <v>60</v>
      </c>
      <c r="F387" s="2" t="s">
        <v>1</v>
      </c>
      <c r="G387" s="4">
        <v>142</v>
      </c>
      <c r="H387" s="1">
        <v>3256.76</v>
      </c>
      <c r="I387" s="1">
        <v>3643.74</v>
      </c>
      <c r="J387" s="5">
        <v>44900</v>
      </c>
      <c r="K387" s="5">
        <v>45162</v>
      </c>
      <c r="L387" s="4">
        <v>262</v>
      </c>
      <c r="M387" s="1">
        <v>462459.92</v>
      </c>
      <c r="N387" s="1">
        <v>517411.08</v>
      </c>
      <c r="O387" s="1">
        <v>54951.16</v>
      </c>
      <c r="P387" s="3">
        <v>11.88</v>
      </c>
      <c r="Q387" s="2" t="s">
        <v>26</v>
      </c>
      <c r="R387" s="1">
        <v>8242.67</v>
      </c>
      <c r="S387" s="1">
        <v>0</v>
      </c>
    </row>
    <row r="388" spans="1:19" ht="18" customHeight="1" x14ac:dyDescent="0.3">
      <c r="A388" s="9" t="s">
        <v>59</v>
      </c>
      <c r="B388" s="7" t="s">
        <v>58</v>
      </c>
      <c r="C388" s="7" t="s">
        <v>9</v>
      </c>
      <c r="D388" s="7" t="s">
        <v>57</v>
      </c>
      <c r="E388" s="7" t="s">
        <v>56</v>
      </c>
      <c r="F388" s="7" t="s">
        <v>1</v>
      </c>
      <c r="G388" s="9">
        <v>265</v>
      </c>
      <c r="H388" s="6">
        <v>87.87</v>
      </c>
      <c r="I388" s="6">
        <v>133.94999999999999</v>
      </c>
      <c r="J388" s="10">
        <v>45087</v>
      </c>
      <c r="K388" s="10">
        <v>45164</v>
      </c>
      <c r="L388" s="9">
        <v>77</v>
      </c>
      <c r="M388" s="6">
        <v>23285.55</v>
      </c>
      <c r="N388" s="6">
        <v>35496.75</v>
      </c>
      <c r="O388" s="6">
        <v>12211.2</v>
      </c>
      <c r="P388" s="8">
        <v>52.44</v>
      </c>
      <c r="Q388" s="7" t="s">
        <v>26</v>
      </c>
      <c r="R388" s="6">
        <v>1831.68</v>
      </c>
      <c r="S388" s="6">
        <v>0</v>
      </c>
    </row>
    <row r="389" spans="1:19" ht="18" customHeight="1" x14ac:dyDescent="0.3">
      <c r="A389" s="4" t="s">
        <v>55</v>
      </c>
      <c r="B389" s="2" t="s">
        <v>54</v>
      </c>
      <c r="C389" s="2" t="s">
        <v>4</v>
      </c>
      <c r="D389" s="2" t="s">
        <v>53</v>
      </c>
      <c r="E389" s="2" t="s">
        <v>52</v>
      </c>
      <c r="F389" s="2" t="s">
        <v>1</v>
      </c>
      <c r="G389" s="4">
        <v>438</v>
      </c>
      <c r="H389" s="1">
        <v>1752.56</v>
      </c>
      <c r="I389" s="1">
        <v>1395.14</v>
      </c>
      <c r="J389" s="5">
        <v>44811</v>
      </c>
      <c r="K389" s="5">
        <v>45540</v>
      </c>
      <c r="L389" s="4">
        <v>729</v>
      </c>
      <c r="M389" s="1">
        <v>767621.28</v>
      </c>
      <c r="N389" s="1">
        <v>611071.31999999995</v>
      </c>
      <c r="O389" s="1">
        <v>-156549.96</v>
      </c>
      <c r="P389" s="3">
        <v>-20.39</v>
      </c>
      <c r="Q389" s="2" t="s">
        <v>0</v>
      </c>
      <c r="R389" s="1">
        <v>0</v>
      </c>
      <c r="S389" s="1">
        <v>0</v>
      </c>
    </row>
    <row r="390" spans="1:19" ht="18" customHeight="1" x14ac:dyDescent="0.3">
      <c r="A390" s="9" t="s">
        <v>51</v>
      </c>
      <c r="B390" s="7" t="s">
        <v>50</v>
      </c>
      <c r="C390" s="7" t="s">
        <v>29</v>
      </c>
      <c r="D390" s="7" t="s">
        <v>49</v>
      </c>
      <c r="E390" s="7" t="s">
        <v>48</v>
      </c>
      <c r="F390" s="7" t="s">
        <v>1</v>
      </c>
      <c r="G390" s="9">
        <v>70</v>
      </c>
      <c r="H390" s="6">
        <v>1353.48</v>
      </c>
      <c r="I390" s="6">
        <v>1958.4</v>
      </c>
      <c r="J390" s="10">
        <v>44602</v>
      </c>
      <c r="K390" s="10">
        <v>44736</v>
      </c>
      <c r="L390" s="9">
        <v>134</v>
      </c>
      <c r="M390" s="6">
        <v>94743.6</v>
      </c>
      <c r="N390" s="6">
        <v>137088</v>
      </c>
      <c r="O390" s="6">
        <v>42344.4</v>
      </c>
      <c r="P390" s="8">
        <v>44.69</v>
      </c>
      <c r="Q390" s="7" t="s">
        <v>26</v>
      </c>
      <c r="R390" s="6">
        <v>6351.66</v>
      </c>
      <c r="S390" s="6">
        <v>0</v>
      </c>
    </row>
    <row r="391" spans="1:19" ht="18" customHeight="1" x14ac:dyDescent="0.3">
      <c r="A391" s="4" t="s">
        <v>47</v>
      </c>
      <c r="B391" s="2" t="s">
        <v>46</v>
      </c>
      <c r="C391" s="2" t="s">
        <v>23</v>
      </c>
      <c r="D391" s="2" t="s">
        <v>45</v>
      </c>
      <c r="E391" s="2" t="s">
        <v>44</v>
      </c>
      <c r="F391" s="2" t="s">
        <v>1</v>
      </c>
      <c r="G391" s="4">
        <v>60</v>
      </c>
      <c r="H391" s="1">
        <v>2045.73</v>
      </c>
      <c r="I391" s="1">
        <v>1873.88</v>
      </c>
      <c r="J391" s="5">
        <v>44874</v>
      </c>
      <c r="K391" s="5">
        <v>45661</v>
      </c>
      <c r="L391" s="4">
        <v>787</v>
      </c>
      <c r="M391" s="1">
        <v>122743.8</v>
      </c>
      <c r="N391" s="1">
        <v>112432.8</v>
      </c>
      <c r="O391" s="1">
        <v>-10311</v>
      </c>
      <c r="P391" s="3">
        <v>-8.4</v>
      </c>
      <c r="Q391" s="2" t="s">
        <v>0</v>
      </c>
      <c r="R391" s="1">
        <v>0</v>
      </c>
      <c r="S391" s="1">
        <v>0</v>
      </c>
    </row>
    <row r="392" spans="1:19" ht="18" customHeight="1" x14ac:dyDescent="0.3">
      <c r="A392" s="9" t="s">
        <v>43</v>
      </c>
      <c r="B392" s="7" t="s">
        <v>42</v>
      </c>
      <c r="C392" s="7" t="s">
        <v>19</v>
      </c>
      <c r="D392" s="7" t="s">
        <v>41</v>
      </c>
      <c r="E392" s="7" t="s">
        <v>12</v>
      </c>
      <c r="F392" s="7" t="s">
        <v>1</v>
      </c>
      <c r="G392" s="9">
        <v>43</v>
      </c>
      <c r="H392" s="6">
        <v>3162.11</v>
      </c>
      <c r="I392" s="6">
        <v>2618.7199999999998</v>
      </c>
      <c r="J392" s="10">
        <v>44363</v>
      </c>
      <c r="K392" s="10">
        <v>45172</v>
      </c>
      <c r="L392" s="9">
        <v>809</v>
      </c>
      <c r="M392" s="6">
        <v>135970.73000000001</v>
      </c>
      <c r="N392" s="6">
        <v>112604.96</v>
      </c>
      <c r="O392" s="6">
        <v>-23365.77</v>
      </c>
      <c r="P392" s="8">
        <v>-17.18</v>
      </c>
      <c r="Q392" s="7" t="s">
        <v>0</v>
      </c>
      <c r="R392" s="6">
        <v>0</v>
      </c>
      <c r="S392" s="6">
        <v>0</v>
      </c>
    </row>
    <row r="393" spans="1:19" ht="18" customHeight="1" x14ac:dyDescent="0.3">
      <c r="A393" s="4" t="s">
        <v>40</v>
      </c>
      <c r="B393" s="2" t="s">
        <v>39</v>
      </c>
      <c r="C393" s="2" t="s">
        <v>14</v>
      </c>
      <c r="D393" s="2" t="s">
        <v>38</v>
      </c>
      <c r="E393" s="2" t="s">
        <v>7</v>
      </c>
      <c r="F393" s="2" t="s">
        <v>1</v>
      </c>
      <c r="G393" s="4">
        <v>270</v>
      </c>
      <c r="H393" s="1">
        <v>904.54</v>
      </c>
      <c r="I393" s="1">
        <v>874.09</v>
      </c>
      <c r="J393" s="5">
        <v>44333</v>
      </c>
      <c r="K393" s="5">
        <v>45011</v>
      </c>
      <c r="L393" s="4">
        <v>678</v>
      </c>
      <c r="M393" s="1">
        <v>244225.8</v>
      </c>
      <c r="N393" s="1">
        <v>236004.3</v>
      </c>
      <c r="O393" s="1">
        <v>-8221.5</v>
      </c>
      <c r="P393" s="3">
        <v>-3.37</v>
      </c>
      <c r="Q393" s="2" t="s">
        <v>0</v>
      </c>
      <c r="R393" s="1">
        <v>0</v>
      </c>
      <c r="S393" s="1">
        <v>0</v>
      </c>
    </row>
    <row r="394" spans="1:19" ht="18" customHeight="1" x14ac:dyDescent="0.3">
      <c r="A394" s="9" t="s">
        <v>37</v>
      </c>
      <c r="B394" s="7" t="s">
        <v>36</v>
      </c>
      <c r="C394" s="7" t="s">
        <v>9</v>
      </c>
      <c r="D394" s="7" t="s">
        <v>35</v>
      </c>
      <c r="E394" s="7" t="s">
        <v>12</v>
      </c>
      <c r="F394" s="7" t="s">
        <v>1</v>
      </c>
      <c r="G394" s="9">
        <v>379</v>
      </c>
      <c r="H394" s="6">
        <v>1670.86</v>
      </c>
      <c r="I394" s="6">
        <v>2185.1</v>
      </c>
      <c r="J394" s="10">
        <v>44595</v>
      </c>
      <c r="K394" s="10">
        <v>45109</v>
      </c>
      <c r="L394" s="9">
        <v>514</v>
      </c>
      <c r="M394" s="6">
        <v>633255.93999999994</v>
      </c>
      <c r="N394" s="6">
        <v>828152.9</v>
      </c>
      <c r="O394" s="6">
        <v>194896.96</v>
      </c>
      <c r="P394" s="8">
        <v>30.78</v>
      </c>
      <c r="Q394" s="7" t="s">
        <v>0</v>
      </c>
      <c r="R394" s="6">
        <v>0</v>
      </c>
      <c r="S394" s="6">
        <v>9489.7000000000007</v>
      </c>
    </row>
    <row r="395" spans="1:19" ht="18" customHeight="1" x14ac:dyDescent="0.3">
      <c r="A395" s="4" t="s">
        <v>34</v>
      </c>
      <c r="B395" s="2" t="s">
        <v>33</v>
      </c>
      <c r="C395" s="2" t="s">
        <v>4</v>
      </c>
      <c r="D395" s="2" t="s">
        <v>32</v>
      </c>
      <c r="E395" s="2" t="s">
        <v>7</v>
      </c>
      <c r="F395" s="2" t="s">
        <v>1</v>
      </c>
      <c r="G395" s="4">
        <v>135</v>
      </c>
      <c r="H395" s="1">
        <v>2713.22</v>
      </c>
      <c r="I395" s="1">
        <v>4193.68</v>
      </c>
      <c r="J395" s="5">
        <v>44329</v>
      </c>
      <c r="K395" s="5">
        <v>44675</v>
      </c>
      <c r="L395" s="4">
        <v>346</v>
      </c>
      <c r="M395" s="1">
        <v>366284.7</v>
      </c>
      <c r="N395" s="1">
        <v>566146.80000000005</v>
      </c>
      <c r="O395" s="1">
        <v>199862.1</v>
      </c>
      <c r="P395" s="3">
        <v>54.56</v>
      </c>
      <c r="Q395" s="2" t="s">
        <v>26</v>
      </c>
      <c r="R395" s="1">
        <v>29979.31</v>
      </c>
      <c r="S395" s="1">
        <v>0</v>
      </c>
    </row>
    <row r="396" spans="1:19" ht="18" customHeight="1" x14ac:dyDescent="0.3">
      <c r="A396" s="9" t="s">
        <v>31</v>
      </c>
      <c r="B396" s="7" t="s">
        <v>30</v>
      </c>
      <c r="C396" s="7" t="s">
        <v>29</v>
      </c>
      <c r="D396" s="7" t="s">
        <v>28</v>
      </c>
      <c r="E396" s="7" t="s">
        <v>27</v>
      </c>
      <c r="F396" s="7" t="s">
        <v>1</v>
      </c>
      <c r="G396" s="9">
        <v>406</v>
      </c>
      <c r="H396" s="6">
        <v>3254.97</v>
      </c>
      <c r="I396" s="6">
        <v>4749.29</v>
      </c>
      <c r="J396" s="10">
        <v>44529</v>
      </c>
      <c r="K396" s="10">
        <v>44849</v>
      </c>
      <c r="L396" s="9">
        <v>320</v>
      </c>
      <c r="M396" s="6">
        <v>1321517.82</v>
      </c>
      <c r="N396" s="6">
        <v>1928211.74</v>
      </c>
      <c r="O396" s="6">
        <v>606693.92000000004</v>
      </c>
      <c r="P396" s="8">
        <v>45.91</v>
      </c>
      <c r="Q396" s="7" t="s">
        <v>26</v>
      </c>
      <c r="R396" s="6">
        <v>91004.09</v>
      </c>
      <c r="S396" s="6">
        <v>0</v>
      </c>
    </row>
    <row r="397" spans="1:19" ht="18" customHeight="1" x14ac:dyDescent="0.3">
      <c r="A397" s="4" t="s">
        <v>25</v>
      </c>
      <c r="B397" s="2" t="s">
        <v>24</v>
      </c>
      <c r="C397" s="2" t="s">
        <v>23</v>
      </c>
      <c r="D397" s="2" t="s">
        <v>22</v>
      </c>
      <c r="E397" s="2" t="s">
        <v>7</v>
      </c>
      <c r="F397" s="2" t="s">
        <v>1</v>
      </c>
      <c r="G397" s="4">
        <v>105</v>
      </c>
      <c r="H397" s="1">
        <v>3066.52</v>
      </c>
      <c r="I397" s="1">
        <v>4145.51</v>
      </c>
      <c r="J397" s="5">
        <v>44628</v>
      </c>
      <c r="K397" s="5">
        <v>45019</v>
      </c>
      <c r="L397" s="4">
        <v>391</v>
      </c>
      <c r="M397" s="1">
        <v>321984.59999999998</v>
      </c>
      <c r="N397" s="1">
        <v>435278.55</v>
      </c>
      <c r="O397" s="1">
        <v>113293.95</v>
      </c>
      <c r="P397" s="3">
        <v>35.19</v>
      </c>
      <c r="Q397" s="2" t="s">
        <v>0</v>
      </c>
      <c r="R397" s="1">
        <v>0</v>
      </c>
      <c r="S397" s="1">
        <v>1329.39</v>
      </c>
    </row>
    <row r="398" spans="1:19" ht="18" customHeight="1" x14ac:dyDescent="0.3">
      <c r="A398" s="9" t="s">
        <v>21</v>
      </c>
      <c r="B398" s="7" t="s">
        <v>20</v>
      </c>
      <c r="C398" s="7" t="s">
        <v>19</v>
      </c>
      <c r="D398" s="7" t="s">
        <v>18</v>
      </c>
      <c r="E398" s="7" t="s">
        <v>17</v>
      </c>
      <c r="F398" s="7" t="s">
        <v>1</v>
      </c>
      <c r="G398" s="9">
        <v>210</v>
      </c>
      <c r="H398" s="6">
        <v>2124.5700000000002</v>
      </c>
      <c r="I398" s="6">
        <v>1876.38</v>
      </c>
      <c r="J398" s="10">
        <v>44980</v>
      </c>
      <c r="K398" s="10">
        <v>45433</v>
      </c>
      <c r="L398" s="9">
        <v>453</v>
      </c>
      <c r="M398" s="6">
        <v>446159.7</v>
      </c>
      <c r="N398" s="6">
        <v>394039.8</v>
      </c>
      <c r="O398" s="6">
        <v>-52119.9</v>
      </c>
      <c r="P398" s="8">
        <v>-11.68</v>
      </c>
      <c r="Q398" s="7" t="s">
        <v>0</v>
      </c>
      <c r="R398" s="6">
        <v>0</v>
      </c>
      <c r="S398" s="6">
        <v>0</v>
      </c>
    </row>
    <row r="399" spans="1:19" ht="18" customHeight="1" x14ac:dyDescent="0.3">
      <c r="A399" s="4" t="s">
        <v>16</v>
      </c>
      <c r="B399" s="2" t="s">
        <v>15</v>
      </c>
      <c r="C399" s="2" t="s">
        <v>14</v>
      </c>
      <c r="D399" s="2" t="s">
        <v>13</v>
      </c>
      <c r="E399" s="2" t="s">
        <v>12</v>
      </c>
      <c r="F399" s="2" t="s">
        <v>1</v>
      </c>
      <c r="G399" s="4">
        <v>231</v>
      </c>
      <c r="H399" s="1">
        <v>3175.44</v>
      </c>
      <c r="I399" s="1">
        <v>4711.5</v>
      </c>
      <c r="J399" s="5">
        <v>44856</v>
      </c>
      <c r="K399" s="5">
        <v>45346</v>
      </c>
      <c r="L399" s="4">
        <v>490</v>
      </c>
      <c r="M399" s="1">
        <v>733526.64</v>
      </c>
      <c r="N399" s="1">
        <v>1088356.5</v>
      </c>
      <c r="O399" s="1">
        <v>354829.86</v>
      </c>
      <c r="P399" s="3">
        <v>48.37</v>
      </c>
      <c r="Q399" s="2" t="s">
        <v>0</v>
      </c>
      <c r="R399" s="1">
        <v>0</v>
      </c>
      <c r="S399" s="1">
        <v>25482.99</v>
      </c>
    </row>
    <row r="400" spans="1:19" ht="18" customHeight="1" x14ac:dyDescent="0.3">
      <c r="A400" s="9" t="s">
        <v>11</v>
      </c>
      <c r="B400" s="7" t="s">
        <v>10</v>
      </c>
      <c r="C400" s="7" t="s">
        <v>9</v>
      </c>
      <c r="D400" s="7" t="s">
        <v>8</v>
      </c>
      <c r="E400" s="7" t="s">
        <v>7</v>
      </c>
      <c r="F400" s="7" t="s">
        <v>1</v>
      </c>
      <c r="G400" s="9">
        <v>35</v>
      </c>
      <c r="H400" s="6">
        <v>229.39</v>
      </c>
      <c r="I400" s="6">
        <v>181.35</v>
      </c>
      <c r="J400" s="10">
        <v>44754</v>
      </c>
      <c r="K400" s="10">
        <v>45386</v>
      </c>
      <c r="L400" s="9">
        <v>632</v>
      </c>
      <c r="M400" s="6">
        <v>8028.65</v>
      </c>
      <c r="N400" s="6">
        <v>6347.25</v>
      </c>
      <c r="O400" s="6">
        <v>-1681.4</v>
      </c>
      <c r="P400" s="8">
        <v>-20.94</v>
      </c>
      <c r="Q400" s="7" t="s">
        <v>0</v>
      </c>
      <c r="R400" s="6">
        <v>0</v>
      </c>
      <c r="S400" s="6">
        <v>0</v>
      </c>
    </row>
    <row r="401" spans="1:19" ht="18" customHeight="1" x14ac:dyDescent="0.3">
      <c r="A401" s="4" t="s">
        <v>6</v>
      </c>
      <c r="B401" s="2" t="s">
        <v>5</v>
      </c>
      <c r="C401" s="2" t="s">
        <v>4</v>
      </c>
      <c r="D401" s="2" t="s">
        <v>3</v>
      </c>
      <c r="E401" s="2" t="s">
        <v>2</v>
      </c>
      <c r="F401" s="2" t="s">
        <v>1</v>
      </c>
      <c r="G401" s="4">
        <v>437</v>
      </c>
      <c r="H401" s="1">
        <v>2147.1999999999998</v>
      </c>
      <c r="I401" s="1">
        <v>2157.61</v>
      </c>
      <c r="J401" s="5">
        <v>44534</v>
      </c>
      <c r="K401" s="5">
        <v>45391</v>
      </c>
      <c r="L401" s="4">
        <v>857</v>
      </c>
      <c r="M401" s="1">
        <v>938326.4</v>
      </c>
      <c r="N401" s="1">
        <v>942875.57</v>
      </c>
      <c r="O401" s="1">
        <v>4549.17</v>
      </c>
      <c r="P401" s="3">
        <v>0.48</v>
      </c>
      <c r="Q401" s="2" t="s">
        <v>0</v>
      </c>
      <c r="R401" s="1">
        <v>0</v>
      </c>
      <c r="S401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788F-2CC9-4C2F-A13C-C913E8C8C1CC}">
  <dimension ref="A1:E87"/>
  <sheetViews>
    <sheetView workbookViewId="0">
      <pane xSplit="2" ySplit="3" topLeftCell="C4" activePane="bottomRight" state="frozen"/>
      <selection pane="topRight"/>
      <selection pane="bottomLeft"/>
      <selection pane="bottomRight" sqref="A1:E1"/>
    </sheetView>
  </sheetViews>
  <sheetFormatPr defaultRowHeight="14.4" x14ac:dyDescent="0.3"/>
  <cols>
    <col min="1" max="1" width="5" customWidth="1"/>
    <col min="2" max="2" width="12" customWidth="1"/>
    <col min="3" max="3" width="55" customWidth="1"/>
    <col min="4" max="4" width="35" customWidth="1"/>
    <col min="5" max="5" width="30" customWidth="1"/>
  </cols>
  <sheetData>
    <row r="1" spans="1:5" ht="31.95" customHeight="1" x14ac:dyDescent="0.3">
      <c r="A1" s="36" t="s">
        <v>587</v>
      </c>
      <c r="B1" s="17"/>
      <c r="C1" s="17"/>
      <c r="D1" s="17"/>
      <c r="E1" s="17"/>
    </row>
    <row r="2" spans="1:5" ht="16.05" customHeight="1" x14ac:dyDescent="0.3">
      <c r="A2" s="35" t="s">
        <v>586</v>
      </c>
      <c r="B2" s="17"/>
      <c r="C2" s="17"/>
      <c r="D2" s="17"/>
      <c r="E2" s="17"/>
    </row>
    <row r="3" spans="1:5" ht="22.05" customHeight="1" x14ac:dyDescent="0.3">
      <c r="A3" s="34" t="s">
        <v>585</v>
      </c>
      <c r="B3" s="34" t="s">
        <v>584</v>
      </c>
      <c r="C3" s="34" t="s">
        <v>583</v>
      </c>
      <c r="D3" s="34" t="s">
        <v>582</v>
      </c>
      <c r="E3" s="34" t="s">
        <v>581</v>
      </c>
    </row>
    <row r="4" spans="1:5" ht="22.05" customHeight="1" x14ac:dyDescent="0.3">
      <c r="A4" s="33" t="s">
        <v>580</v>
      </c>
      <c r="B4" s="17"/>
      <c r="C4" s="17"/>
      <c r="D4" s="17"/>
      <c r="E4" s="17"/>
    </row>
    <row r="5" spans="1:5" ht="36" customHeight="1" x14ac:dyDescent="0.3">
      <c r="A5" s="32">
        <v>1</v>
      </c>
      <c r="B5" s="31" t="s">
        <v>560</v>
      </c>
      <c r="C5" s="30" t="s">
        <v>579</v>
      </c>
      <c r="D5" s="29">
        <f>COUNTA(A2:A401)</f>
        <v>86</v>
      </c>
      <c r="E5" s="12"/>
    </row>
    <row r="6" spans="1:5" ht="36" customHeight="1" x14ac:dyDescent="0.3">
      <c r="A6" s="32">
        <v>2</v>
      </c>
      <c r="B6" s="31" t="s">
        <v>560</v>
      </c>
      <c r="C6" s="30" t="s">
        <v>578</v>
      </c>
      <c r="D6" s="29">
        <f>SUM(M2:M401)</f>
        <v>0</v>
      </c>
      <c r="E6" s="12"/>
    </row>
    <row r="7" spans="1:5" ht="36" customHeight="1" x14ac:dyDescent="0.3">
      <c r="A7" s="32">
        <v>3</v>
      </c>
      <c r="B7" s="31" t="s">
        <v>560</v>
      </c>
      <c r="C7" s="30" t="s">
        <v>577</v>
      </c>
      <c r="D7" s="29">
        <f>SUM(N2:N401)</f>
        <v>0</v>
      </c>
      <c r="E7" s="12"/>
    </row>
    <row r="8" spans="1:5" ht="36" customHeight="1" x14ac:dyDescent="0.3">
      <c r="A8" s="32">
        <v>4</v>
      </c>
      <c r="B8" s="31" t="s">
        <v>560</v>
      </c>
      <c r="C8" s="30" t="s">
        <v>576</v>
      </c>
      <c r="D8" s="29">
        <f>SUM(O2:O401)</f>
        <v>0</v>
      </c>
      <c r="E8" s="12"/>
    </row>
    <row r="9" spans="1:5" ht="36" customHeight="1" x14ac:dyDescent="0.3">
      <c r="A9" s="32">
        <v>5</v>
      </c>
      <c r="B9" s="31" t="s">
        <v>560</v>
      </c>
      <c r="C9" s="30" t="s">
        <v>575</v>
      </c>
      <c r="D9" s="29">
        <f>COUNTIF(Q2:Q401,"STCG")</f>
        <v>0</v>
      </c>
      <c r="E9" s="12"/>
    </row>
    <row r="10" spans="1:5" ht="36" customHeight="1" x14ac:dyDescent="0.3">
      <c r="A10" s="32">
        <v>6</v>
      </c>
      <c r="B10" s="31" t="s">
        <v>560</v>
      </c>
      <c r="C10" s="30" t="s">
        <v>574</v>
      </c>
      <c r="D10" s="29">
        <f>COUNTIF(Q2:Q401,"LTCG")</f>
        <v>0</v>
      </c>
      <c r="E10" s="12"/>
    </row>
    <row r="11" spans="1:5" ht="36" customHeight="1" x14ac:dyDescent="0.3">
      <c r="A11" s="32">
        <v>7</v>
      </c>
      <c r="B11" s="31" t="s">
        <v>560</v>
      </c>
      <c r="C11" s="30" t="s">
        <v>573</v>
      </c>
      <c r="D11" s="29">
        <f>MAX(O2:O401)</f>
        <v>0</v>
      </c>
      <c r="E11" s="12"/>
    </row>
    <row r="12" spans="1:5" ht="36" customHeight="1" x14ac:dyDescent="0.3">
      <c r="A12" s="32">
        <v>8</v>
      </c>
      <c r="B12" s="31" t="s">
        <v>560</v>
      </c>
      <c r="C12" s="30" t="s">
        <v>572</v>
      </c>
      <c r="D12" s="29">
        <f>MIN(O2:O401)</f>
        <v>0</v>
      </c>
      <c r="E12" s="12"/>
    </row>
    <row r="13" spans="1:5" ht="36" customHeight="1" x14ac:dyDescent="0.3">
      <c r="A13" s="32">
        <v>9</v>
      </c>
      <c r="B13" s="31" t="s">
        <v>560</v>
      </c>
      <c r="C13" s="30" t="s">
        <v>571</v>
      </c>
      <c r="D13" s="29" t="e">
        <f>AVERAGE(P2:P401)</f>
        <v>#DIV/0!</v>
      </c>
      <c r="E13" s="12"/>
    </row>
    <row r="14" spans="1:5" ht="36" customHeight="1" x14ac:dyDescent="0.3">
      <c r="A14" s="32">
        <v>10</v>
      </c>
      <c r="B14" s="31" t="s">
        <v>560</v>
      </c>
      <c r="C14" s="30" t="s">
        <v>570</v>
      </c>
      <c r="D14" s="29">
        <f>SUM(R2:R401)</f>
        <v>0</v>
      </c>
      <c r="E14" s="12"/>
    </row>
    <row r="15" spans="1:5" ht="36" customHeight="1" x14ac:dyDescent="0.3">
      <c r="A15" s="32">
        <v>11</v>
      </c>
      <c r="B15" s="31" t="s">
        <v>560</v>
      </c>
      <c r="C15" s="30" t="s">
        <v>569</v>
      </c>
      <c r="D15" s="29">
        <f>SUM(S2:S401)</f>
        <v>0</v>
      </c>
      <c r="E15" s="12"/>
    </row>
    <row r="16" spans="1:5" ht="36" customHeight="1" x14ac:dyDescent="0.3">
      <c r="A16" s="32">
        <v>12</v>
      </c>
      <c r="B16" s="31" t="s">
        <v>560</v>
      </c>
      <c r="C16" s="30" t="s">
        <v>568</v>
      </c>
      <c r="D16" s="29" t="str">
        <f ca="1">COUNTIF(D2:D401,"TCS")</f>
        <v/>
      </c>
      <c r="E16" s="12"/>
    </row>
    <row r="17" spans="1:5" ht="36" customHeight="1" x14ac:dyDescent="0.3">
      <c r="A17" s="32">
        <v>13</v>
      </c>
      <c r="B17" s="31" t="s">
        <v>560</v>
      </c>
      <c r="C17" s="30" t="s">
        <v>567</v>
      </c>
      <c r="D17" s="29">
        <f>SUMIF(E2:E401,"IT",O2:O401)</f>
        <v>0</v>
      </c>
      <c r="E17" s="12"/>
    </row>
    <row r="18" spans="1:5" ht="36" customHeight="1" x14ac:dyDescent="0.3">
      <c r="A18" s="32">
        <v>14</v>
      </c>
      <c r="B18" s="31" t="s">
        <v>560</v>
      </c>
      <c r="C18" s="30" t="s">
        <v>566</v>
      </c>
      <c r="D18" s="29">
        <f>COUNTIF(O2:O401,"&gt;0")</f>
        <v>0</v>
      </c>
      <c r="E18" s="12"/>
    </row>
    <row r="19" spans="1:5" ht="36" customHeight="1" x14ac:dyDescent="0.3">
      <c r="A19" s="32">
        <v>15</v>
      </c>
      <c r="B19" s="31" t="s">
        <v>560</v>
      </c>
      <c r="C19" s="30" t="s">
        <v>565</v>
      </c>
      <c r="D19" s="29">
        <f>COUNTIF(O2:O401,"&lt;0")</f>
        <v>0</v>
      </c>
      <c r="E19" s="12"/>
    </row>
    <row r="20" spans="1:5" ht="36" customHeight="1" x14ac:dyDescent="0.3">
      <c r="A20" s="32">
        <v>16</v>
      </c>
      <c r="B20" s="31" t="s">
        <v>560</v>
      </c>
      <c r="C20" s="30" t="s">
        <v>564</v>
      </c>
      <c r="D20" s="29" t="e">
        <f>AVERAGE(L2:L401)</f>
        <v>#DIV/0!</v>
      </c>
      <c r="E20" s="12"/>
    </row>
    <row r="21" spans="1:5" ht="36" customHeight="1" x14ac:dyDescent="0.3">
      <c r="A21" s="32">
        <v>17</v>
      </c>
      <c r="B21" s="31" t="s">
        <v>560</v>
      </c>
      <c r="C21" s="30" t="s">
        <v>563</v>
      </c>
      <c r="D21" s="29">
        <f>MAX(H2:H401)</f>
        <v>0</v>
      </c>
      <c r="E21" s="12"/>
    </row>
    <row r="22" spans="1:5" ht="36" customHeight="1" x14ac:dyDescent="0.3">
      <c r="A22" s="32">
        <v>18</v>
      </c>
      <c r="B22" s="31" t="s">
        <v>560</v>
      </c>
      <c r="C22" s="30" t="s">
        <v>562</v>
      </c>
      <c r="D22" s="29">
        <f>MIN(I2:I401)</f>
        <v>0</v>
      </c>
      <c r="E22" s="12"/>
    </row>
    <row r="23" spans="1:5" ht="36" customHeight="1" x14ac:dyDescent="0.3">
      <c r="A23" s="32">
        <v>19</v>
      </c>
      <c r="B23" s="31" t="s">
        <v>560</v>
      </c>
      <c r="C23" s="30" t="s">
        <v>561</v>
      </c>
      <c r="D23" s="29" t="str">
        <f ca="1">COUNTA(D2:D401)</f>
        <v/>
      </c>
      <c r="E23" s="12"/>
    </row>
    <row r="24" spans="1:5" ht="36" customHeight="1" x14ac:dyDescent="0.3">
      <c r="A24" s="32">
        <v>20</v>
      </c>
      <c r="B24" s="31" t="s">
        <v>560</v>
      </c>
      <c r="C24" s="30" t="s">
        <v>559</v>
      </c>
      <c r="D24" s="29">
        <f>COUNTIF(C2:C401,"Zerodha")</f>
        <v>0</v>
      </c>
      <c r="E24" s="12"/>
    </row>
    <row r="25" spans="1:5" ht="22.05" customHeight="1" x14ac:dyDescent="0.3">
      <c r="A25" s="28" t="s">
        <v>558</v>
      </c>
      <c r="B25" s="17"/>
      <c r="C25" s="17"/>
      <c r="D25" s="17"/>
      <c r="E25" s="17"/>
    </row>
    <row r="26" spans="1:5" ht="36" customHeight="1" x14ac:dyDescent="0.3">
      <c r="A26" s="27">
        <v>21</v>
      </c>
      <c r="B26" s="26" t="s">
        <v>534</v>
      </c>
      <c r="C26" s="25" t="s">
        <v>557</v>
      </c>
      <c r="D26" s="24">
        <f ca="1">SUMIFS(O2:O401,E2:E401,"IT",Q2:Q401,"LTCG")</f>
        <v>0</v>
      </c>
      <c r="E26" s="12"/>
    </row>
    <row r="27" spans="1:5" ht="36" customHeight="1" x14ac:dyDescent="0.3">
      <c r="A27" s="27">
        <v>22</v>
      </c>
      <c r="B27" s="26" t="s">
        <v>534</v>
      </c>
      <c r="C27" s="25" t="s">
        <v>556</v>
      </c>
      <c r="D27" s="24">
        <f>COUNTIFS(P2:P401,"&gt;20",L2:L401,"&gt;365")</f>
        <v>0</v>
      </c>
      <c r="E27" s="12"/>
    </row>
    <row r="28" spans="1:5" ht="36" customHeight="1" x14ac:dyDescent="0.3">
      <c r="A28" s="27">
        <v>23</v>
      </c>
      <c r="B28" s="26" t="s">
        <v>534</v>
      </c>
      <c r="C28" s="25" t="s">
        <v>555</v>
      </c>
      <c r="D28" s="24" t="e">
        <f>VLOOKUP("TRD20100",A2:O401,15,0)</f>
        <v>#N/A</v>
      </c>
      <c r="E28" s="12"/>
    </row>
    <row r="29" spans="1:5" ht="36" customHeight="1" x14ac:dyDescent="0.3">
      <c r="A29" s="27">
        <v>24</v>
      </c>
      <c r="B29" s="26" t="s">
        <v>534</v>
      </c>
      <c r="C29" s="25" t="s">
        <v>554</v>
      </c>
      <c r="D29" s="24" t="e">
        <f ca="1">_xludf.XLOOKUP("TRD20200",A2:A401,B2:B401,"Not Found")</f>
        <v>#NAME?</v>
      </c>
      <c r="E29" s="12"/>
    </row>
    <row r="30" spans="1:5" ht="36" customHeight="1" x14ac:dyDescent="0.3">
      <c r="A30" s="27">
        <v>25</v>
      </c>
      <c r="B30" s="26" t="s">
        <v>534</v>
      </c>
      <c r="C30" s="25" t="s">
        <v>553</v>
      </c>
      <c r="D30" s="24" t="e">
        <f>IF(O2&gt;0,"Profit","Loss")  drag down</f>
        <v>#VALUE!</v>
      </c>
      <c r="E30" s="12"/>
    </row>
    <row r="31" spans="1:5" ht="36" customHeight="1" x14ac:dyDescent="0.3">
      <c r="A31" s="27">
        <v>26</v>
      </c>
      <c r="B31" s="26" t="s">
        <v>534</v>
      </c>
      <c r="C31" s="25" t="s">
        <v>552</v>
      </c>
      <c r="D31" s="24" t="e">
        <f>AVERAGEIF(E2:E401,"Banking",P2:P401)</f>
        <v>#DIV/0!</v>
      </c>
      <c r="E31" s="12"/>
    </row>
    <row r="32" spans="1:5" ht="36" customHeight="1" x14ac:dyDescent="0.3">
      <c r="A32" s="27">
        <v>27</v>
      </c>
      <c r="B32" s="26" t="s">
        <v>534</v>
      </c>
      <c r="C32" s="25" t="s">
        <v>551</v>
      </c>
      <c r="D32" s="24">
        <f ca="1">SUMIFS(M2:M401,C2:C401,"Zerodha",E2:E401,"Banking")</f>
        <v>0</v>
      </c>
      <c r="E32" s="12"/>
    </row>
    <row r="33" spans="1:5" ht="36" customHeight="1" x14ac:dyDescent="0.3">
      <c r="A33" s="27">
        <v>28</v>
      </c>
      <c r="B33" s="26" t="s">
        <v>534</v>
      </c>
      <c r="C33" s="25" t="s">
        <v>550</v>
      </c>
      <c r="D33" s="24" t="s">
        <v>549</v>
      </c>
      <c r="E33" s="12"/>
    </row>
    <row r="34" spans="1:5" ht="36" customHeight="1" x14ac:dyDescent="0.3">
      <c r="A34" s="27">
        <v>29</v>
      </c>
      <c r="B34" s="26" t="s">
        <v>534</v>
      </c>
      <c r="C34" s="25" t="s">
        <v>548</v>
      </c>
      <c r="D34" s="24" t="s">
        <v>547</v>
      </c>
      <c r="E34" s="12"/>
    </row>
    <row r="35" spans="1:5" ht="36" customHeight="1" x14ac:dyDescent="0.3">
      <c r="A35" s="27">
        <v>30</v>
      </c>
      <c r="B35" s="26" t="s">
        <v>534</v>
      </c>
      <c r="C35" s="25" t="s">
        <v>546</v>
      </c>
      <c r="D35" s="24">
        <f>SUMPRODUCT(R2:R401+S2:S401)</f>
        <v>0</v>
      </c>
      <c r="E35" s="12"/>
    </row>
    <row r="36" spans="1:5" ht="36" customHeight="1" x14ac:dyDescent="0.3">
      <c r="A36" s="27">
        <v>31</v>
      </c>
      <c r="B36" s="26" t="s">
        <v>534</v>
      </c>
      <c r="C36" s="25" t="s">
        <v>545</v>
      </c>
      <c r="D36" s="24"/>
      <c r="E36" s="12"/>
    </row>
    <row r="37" spans="1:5" ht="36" customHeight="1" x14ac:dyDescent="0.3">
      <c r="A37" s="27">
        <v>32</v>
      </c>
      <c r="B37" s="26" t="s">
        <v>534</v>
      </c>
      <c r="C37" s="25" t="s">
        <v>544</v>
      </c>
      <c r="D37" s="24" t="str">
        <f>IFERROR(VLOOKUP("TRD00000",A2:O401,2,0),"Trade Not Found")</f>
        <v>Trade Not Found</v>
      </c>
      <c r="E37" s="12"/>
    </row>
    <row r="38" spans="1:5" ht="36" customHeight="1" x14ac:dyDescent="0.3">
      <c r="A38" s="27">
        <v>33</v>
      </c>
      <c r="B38" s="26" t="s">
        <v>534</v>
      </c>
      <c r="C38" s="25" t="s">
        <v>543</v>
      </c>
      <c r="D38" s="24" t="e">
        <f ca="1">_xludf.MAXIFS(O2:O401,C2:C401,"Zerodha") for each broker</f>
        <v>#NAME?</v>
      </c>
      <c r="E38" s="12"/>
    </row>
    <row r="39" spans="1:5" ht="36" customHeight="1" x14ac:dyDescent="0.3">
      <c r="A39" s="27">
        <v>34</v>
      </c>
      <c r="B39" s="26" t="s">
        <v>534</v>
      </c>
      <c r="C39" s="25" t="s">
        <v>542</v>
      </c>
      <c r="D39" s="24" t="s">
        <v>541</v>
      </c>
      <c r="E39" s="12"/>
    </row>
    <row r="40" spans="1:5" ht="36" customHeight="1" x14ac:dyDescent="0.3">
      <c r="A40" s="27">
        <v>35</v>
      </c>
      <c r="B40" s="26" t="s">
        <v>534</v>
      </c>
      <c r="C40" s="25" t="s">
        <v>540</v>
      </c>
      <c r="D40" s="24" t="e">
        <f ca="1">AVERAGEIFS(L2:L401,Q2:Q401,"LTCG",O2:O401,"&gt;0")</f>
        <v>#DIV/0!</v>
      </c>
      <c r="E40" s="12"/>
    </row>
    <row r="41" spans="1:5" ht="36" customHeight="1" x14ac:dyDescent="0.3">
      <c r="A41" s="27">
        <v>36</v>
      </c>
      <c r="B41" s="26" t="s">
        <v>534</v>
      </c>
      <c r="C41" s="25" t="s">
        <v>539</v>
      </c>
      <c r="D41" s="24">
        <f>COUNTIFS(H2:H401,"&gt;1000",G2:G401,"&gt;100")</f>
        <v>0</v>
      </c>
      <c r="E41" s="12"/>
    </row>
    <row r="42" spans="1:5" ht="36" customHeight="1" x14ac:dyDescent="0.3">
      <c r="A42" s="27">
        <v>37</v>
      </c>
      <c r="B42" s="26" t="s">
        <v>534</v>
      </c>
      <c r="C42" s="25" t="s">
        <v>538</v>
      </c>
      <c r="D42" s="24" t="str">
        <f>TEXT(J2,"YYYY")&amp;"-Q"&amp;INT((MONTH(J2)-1)/3+1)</f>
        <v>1900-Q1</v>
      </c>
      <c r="E42" s="12"/>
    </row>
    <row r="43" spans="1:5" ht="36" customHeight="1" x14ac:dyDescent="0.3">
      <c r="A43" s="27">
        <v>38</v>
      </c>
      <c r="B43" s="26" t="s">
        <v>534</v>
      </c>
      <c r="C43" s="25" t="s">
        <v>537</v>
      </c>
      <c r="D43" s="24" t="e">
        <f>B2&amp;" | "&amp;D2  drag down</f>
        <v>#NAME?</v>
      </c>
      <c r="E43" s="12"/>
    </row>
    <row r="44" spans="1:5" ht="36" customHeight="1" x14ac:dyDescent="0.3">
      <c r="A44" s="27">
        <v>39</v>
      </c>
      <c r="B44" s="26" t="s">
        <v>534</v>
      </c>
      <c r="C44" s="25" t="s">
        <v>536</v>
      </c>
      <c r="D44" s="24" t="s">
        <v>535</v>
      </c>
      <c r="E44" s="12"/>
    </row>
    <row r="45" spans="1:5" ht="36" customHeight="1" x14ac:dyDescent="0.3">
      <c r="A45" s="27">
        <v>40</v>
      </c>
      <c r="B45" s="26" t="s">
        <v>534</v>
      </c>
      <c r="C45" s="25" t="s">
        <v>533</v>
      </c>
      <c r="D45" s="24" t="e">
        <f ca="1">_xludf.MINIFS(O2:O401,E2:E401,"IT") for each sector</f>
        <v>#NAME?</v>
      </c>
      <c r="E45" s="12"/>
    </row>
    <row r="46" spans="1:5" ht="22.05" customHeight="1" x14ac:dyDescent="0.3">
      <c r="A46" s="23" t="s">
        <v>532</v>
      </c>
      <c r="B46" s="17"/>
      <c r="C46" s="17"/>
      <c r="D46" s="17"/>
      <c r="E46" s="17"/>
    </row>
    <row r="47" spans="1:5" ht="36" customHeight="1" x14ac:dyDescent="0.3">
      <c r="A47" s="22">
        <v>41</v>
      </c>
      <c r="B47" s="21" t="s">
        <v>501</v>
      </c>
      <c r="C47" s="20" t="s">
        <v>531</v>
      </c>
      <c r="D47" s="19" t="s">
        <v>530</v>
      </c>
      <c r="E47" s="12"/>
    </row>
    <row r="48" spans="1:5" ht="36" customHeight="1" x14ac:dyDescent="0.3">
      <c r="A48" s="22">
        <v>42</v>
      </c>
      <c r="B48" s="21" t="s">
        <v>501</v>
      </c>
      <c r="C48" s="20" t="s">
        <v>529</v>
      </c>
      <c r="D48" s="19" t="e">
        <f>INDEX(B2:B401,MATCH(MAX(O2:O401),O2:O401,0))</f>
        <v>#N/A</v>
      </c>
      <c r="E48" s="12"/>
    </row>
    <row r="49" spans="1:5" ht="36" customHeight="1" x14ac:dyDescent="0.3">
      <c r="A49" s="22">
        <v>43</v>
      </c>
      <c r="B49" s="21" t="s">
        <v>501</v>
      </c>
      <c r="C49" s="20" t="s">
        <v>528</v>
      </c>
      <c r="D49" s="19" t="str">
        <f>IF(O2&lt;=0,"No Tax",IF(Q2="STCG","Short Term 15%","Long Term 10%"))</f>
        <v>No Tax</v>
      </c>
      <c r="E49" s="12"/>
    </row>
    <row r="50" spans="1:5" ht="36" customHeight="1" x14ac:dyDescent="0.3">
      <c r="A50" s="22">
        <v>44</v>
      </c>
      <c r="B50" s="21" t="s">
        <v>501</v>
      </c>
      <c r="C50" s="20" t="s">
        <v>527</v>
      </c>
      <c r="D50" s="19" t="s">
        <v>526</v>
      </c>
      <c r="E50" s="12"/>
    </row>
    <row r="51" spans="1:5" ht="36" customHeight="1" x14ac:dyDescent="0.3">
      <c r="A51" s="22">
        <v>45</v>
      </c>
      <c r="B51" s="21" t="s">
        <v>501</v>
      </c>
      <c r="C51" s="20" t="s">
        <v>525</v>
      </c>
      <c r="D51" s="19"/>
      <c r="E51" s="12"/>
    </row>
    <row r="52" spans="1:5" ht="36" customHeight="1" x14ac:dyDescent="0.3">
      <c r="A52" s="22">
        <v>46</v>
      </c>
      <c r="B52" s="21" t="s">
        <v>501</v>
      </c>
      <c r="C52" s="20" t="s">
        <v>524</v>
      </c>
      <c r="D52" s="19" t="s">
        <v>523</v>
      </c>
      <c r="E52" s="12"/>
    </row>
    <row r="53" spans="1:5" ht="36" customHeight="1" x14ac:dyDescent="0.3">
      <c r="A53" s="22">
        <v>47</v>
      </c>
      <c r="B53" s="21" t="s">
        <v>501</v>
      </c>
      <c r="C53" s="20" t="s">
        <v>522</v>
      </c>
      <c r="D53" s="19">
        <f ca="1">SUMIFS(O2:O401,J2:J401,"&gt;="&amp;DATE(2022,1,1),J2:J401,"&lt;"&amp;DATE(2023,1,1))</f>
        <v>0</v>
      </c>
      <c r="E53" s="12"/>
    </row>
    <row r="54" spans="1:5" ht="36" customHeight="1" x14ac:dyDescent="0.3">
      <c r="A54" s="22">
        <v>48</v>
      </c>
      <c r="B54" s="21" t="s">
        <v>501</v>
      </c>
      <c r="C54" s="20" t="s">
        <v>521</v>
      </c>
      <c r="D54" s="19">
        <f>IF(O2&gt;0,IF(Q2="STCG",O2*0.15,MAX(0,O2-100000)*0.1),0)</f>
        <v>0</v>
      </c>
      <c r="E54" s="12"/>
    </row>
    <row r="55" spans="1:5" ht="36" customHeight="1" x14ac:dyDescent="0.3">
      <c r="A55" s="22">
        <v>49</v>
      </c>
      <c r="B55" s="21" t="s">
        <v>501</v>
      </c>
      <c r="C55" s="20" t="s">
        <v>520</v>
      </c>
      <c r="D55" s="19" t="s">
        <v>519</v>
      </c>
      <c r="E55" s="12"/>
    </row>
    <row r="56" spans="1:5" ht="36" customHeight="1" x14ac:dyDescent="0.3">
      <c r="A56" s="22">
        <v>50</v>
      </c>
      <c r="B56" s="21" t="s">
        <v>501</v>
      </c>
      <c r="C56" s="20" t="s">
        <v>518</v>
      </c>
      <c r="D56" s="19" t="s">
        <v>517</v>
      </c>
      <c r="E56" s="12"/>
    </row>
    <row r="57" spans="1:5" ht="36" customHeight="1" x14ac:dyDescent="0.3">
      <c r="A57" s="22">
        <v>51</v>
      </c>
      <c r="B57" s="21" t="s">
        <v>501</v>
      </c>
      <c r="C57" s="20" t="s">
        <v>516</v>
      </c>
      <c r="D57" s="19" t="s">
        <v>515</v>
      </c>
      <c r="E57" s="12"/>
    </row>
    <row r="58" spans="1:5" ht="36" customHeight="1" x14ac:dyDescent="0.3">
      <c r="A58" s="22">
        <v>52</v>
      </c>
      <c r="B58" s="21" t="s">
        <v>501</v>
      </c>
      <c r="C58" s="20" t="s">
        <v>514</v>
      </c>
      <c r="D58" s="19" t="s">
        <v>513</v>
      </c>
      <c r="E58" s="12"/>
    </row>
    <row r="59" spans="1:5" ht="36" customHeight="1" x14ac:dyDescent="0.3">
      <c r="A59" s="22">
        <v>53</v>
      </c>
      <c r="B59" s="21" t="s">
        <v>501</v>
      </c>
      <c r="C59" s="20" t="s">
        <v>512</v>
      </c>
      <c r="D59" s="19" t="s">
        <v>511</v>
      </c>
      <c r="E59" s="12"/>
    </row>
    <row r="60" spans="1:5" ht="36" customHeight="1" x14ac:dyDescent="0.3">
      <c r="A60" s="22">
        <v>54</v>
      </c>
      <c r="B60" s="21" t="s">
        <v>501</v>
      </c>
      <c r="C60" s="20" t="s">
        <v>510</v>
      </c>
      <c r="D60" s="19" t="s">
        <v>509</v>
      </c>
      <c r="E60" s="12"/>
    </row>
    <row r="61" spans="1:5" ht="36" customHeight="1" x14ac:dyDescent="0.3">
      <c r="A61" s="22">
        <v>55</v>
      </c>
      <c r="B61" s="21" t="s">
        <v>501</v>
      </c>
      <c r="C61" s="20" t="s">
        <v>508</v>
      </c>
      <c r="D61" s="19"/>
      <c r="E61" s="12"/>
    </row>
    <row r="62" spans="1:5" ht="36" customHeight="1" x14ac:dyDescent="0.3">
      <c r="A62" s="22">
        <v>56</v>
      </c>
      <c r="B62" s="21" t="s">
        <v>501</v>
      </c>
      <c r="C62" s="20" t="s">
        <v>507</v>
      </c>
      <c r="D62" s="19" t="s">
        <v>506</v>
      </c>
      <c r="E62" s="12"/>
    </row>
    <row r="63" spans="1:5" ht="36" customHeight="1" x14ac:dyDescent="0.3">
      <c r="A63" s="22">
        <v>57</v>
      </c>
      <c r="B63" s="21" t="s">
        <v>501</v>
      </c>
      <c r="C63" s="20" t="s">
        <v>505</v>
      </c>
      <c r="D63" s="19" t="e">
        <f>SUM(M2:M401)/AVERAGE(M2:M401)</f>
        <v>#DIV/0!</v>
      </c>
      <c r="E63" s="12"/>
    </row>
    <row r="64" spans="1:5" ht="36" customHeight="1" x14ac:dyDescent="0.3">
      <c r="A64" s="22">
        <v>58</v>
      </c>
      <c r="B64" s="21" t="s">
        <v>501</v>
      </c>
      <c r="C64" s="20" t="s">
        <v>504</v>
      </c>
      <c r="D64" s="19"/>
      <c r="E64" s="12"/>
    </row>
    <row r="65" spans="1:5" ht="36" customHeight="1" x14ac:dyDescent="0.3">
      <c r="A65" s="22">
        <v>59</v>
      </c>
      <c r="B65" s="21" t="s">
        <v>501</v>
      </c>
      <c r="C65" s="20" t="s">
        <v>503</v>
      </c>
      <c r="D65" s="19" t="s">
        <v>502</v>
      </c>
      <c r="E65" s="12"/>
    </row>
    <row r="66" spans="1:5" ht="36" customHeight="1" x14ac:dyDescent="0.3">
      <c r="A66" s="22">
        <v>60</v>
      </c>
      <c r="B66" s="21" t="s">
        <v>501</v>
      </c>
      <c r="C66" s="20" t="s">
        <v>500</v>
      </c>
      <c r="D66" s="19"/>
      <c r="E66" s="12"/>
    </row>
    <row r="67" spans="1:5" ht="22.05" customHeight="1" x14ac:dyDescent="0.3">
      <c r="A67" s="18" t="s">
        <v>499</v>
      </c>
      <c r="B67" s="17"/>
      <c r="C67" s="17"/>
      <c r="D67" s="17"/>
      <c r="E67" s="17"/>
    </row>
    <row r="68" spans="1:5" ht="36" customHeight="1" x14ac:dyDescent="0.3">
      <c r="A68" s="16">
        <v>61</v>
      </c>
      <c r="B68" s="15" t="s">
        <v>470</v>
      </c>
      <c r="C68" s="14" t="s">
        <v>498</v>
      </c>
      <c r="D68" s="13" t="s">
        <v>497</v>
      </c>
      <c r="E68" s="12"/>
    </row>
    <row r="69" spans="1:5" ht="36" customHeight="1" x14ac:dyDescent="0.3">
      <c r="A69" s="16">
        <v>62</v>
      </c>
      <c r="B69" s="15" t="s">
        <v>470</v>
      </c>
      <c r="C69" s="14" t="s">
        <v>496</v>
      </c>
      <c r="D69" s="13"/>
      <c r="E69" s="12"/>
    </row>
    <row r="70" spans="1:5" ht="36" customHeight="1" x14ac:dyDescent="0.3">
      <c r="A70" s="16">
        <v>63</v>
      </c>
      <c r="B70" s="15" t="s">
        <v>470</v>
      </c>
      <c r="C70" s="14" t="s">
        <v>495</v>
      </c>
      <c r="D70" s="13"/>
      <c r="E70" s="12"/>
    </row>
    <row r="71" spans="1:5" ht="36" customHeight="1" x14ac:dyDescent="0.3">
      <c r="A71" s="16">
        <v>64</v>
      </c>
      <c r="B71" s="15" t="s">
        <v>470</v>
      </c>
      <c r="C71" s="14" t="s">
        <v>494</v>
      </c>
      <c r="D71" s="13" t="e">
        <f>SUMPRODUCT(P2:P401,M2:M401)/SUM(M2:M401)</f>
        <v>#DIV/0!</v>
      </c>
      <c r="E71" s="12"/>
    </row>
    <row r="72" spans="1:5" ht="36" customHeight="1" x14ac:dyDescent="0.3">
      <c r="A72" s="16">
        <v>65</v>
      </c>
      <c r="B72" s="15" t="s">
        <v>470</v>
      </c>
      <c r="C72" s="14" t="s">
        <v>493</v>
      </c>
      <c r="D72" s="13" t="s">
        <v>492</v>
      </c>
      <c r="E72" s="12"/>
    </row>
    <row r="73" spans="1:5" ht="36" customHeight="1" x14ac:dyDescent="0.3">
      <c r="A73" s="16">
        <v>66</v>
      </c>
      <c r="B73" s="15" t="s">
        <v>470</v>
      </c>
      <c r="C73" s="14" t="s">
        <v>491</v>
      </c>
      <c r="D73" s="13"/>
      <c r="E73" s="12"/>
    </row>
    <row r="74" spans="1:5" ht="36" customHeight="1" x14ac:dyDescent="0.3">
      <c r="A74" s="16">
        <v>67</v>
      </c>
      <c r="B74" s="15" t="s">
        <v>470</v>
      </c>
      <c r="C74" s="14" t="s">
        <v>490</v>
      </c>
      <c r="D74" s="13" t="s">
        <v>489</v>
      </c>
      <c r="E74" s="12"/>
    </row>
    <row r="75" spans="1:5" ht="36" customHeight="1" x14ac:dyDescent="0.3">
      <c r="A75" s="16">
        <v>68</v>
      </c>
      <c r="B75" s="15" t="s">
        <v>470</v>
      </c>
      <c r="C75" s="14" t="s">
        <v>488</v>
      </c>
      <c r="D75" s="13" t="e">
        <f ca="1">_xludf.XLOOKUP("TCS",D2:D401,A2:A401,"None",0,-1)</f>
        <v>#NAME?</v>
      </c>
      <c r="E75" s="12"/>
    </row>
    <row r="76" spans="1:5" ht="36" customHeight="1" x14ac:dyDescent="0.3">
      <c r="A76" s="16">
        <v>69</v>
      </c>
      <c r="B76" s="15" t="s">
        <v>470</v>
      </c>
      <c r="C76" s="14" t="s">
        <v>487</v>
      </c>
      <c r="D76" s="13" t="s">
        <v>486</v>
      </c>
      <c r="E76" s="12"/>
    </row>
    <row r="77" spans="1:5" ht="36" customHeight="1" x14ac:dyDescent="0.3">
      <c r="A77" s="16">
        <v>70</v>
      </c>
      <c r="B77" s="15" t="s">
        <v>470</v>
      </c>
      <c r="C77" s="14" t="s">
        <v>485</v>
      </c>
      <c r="D77" s="13" t="s">
        <v>484</v>
      </c>
      <c r="E77" s="12"/>
    </row>
    <row r="78" spans="1:5" ht="36" customHeight="1" x14ac:dyDescent="0.3">
      <c r="A78" s="16">
        <v>71</v>
      </c>
      <c r="B78" s="15" t="s">
        <v>470</v>
      </c>
      <c r="C78" s="14" t="s">
        <v>483</v>
      </c>
      <c r="D78" s="13" t="e">
        <f ca="1">SUM(INDIRECT(CHOOSE(P1,"M2:M401","N2:N401","O2:O401")))</f>
        <v>#VALUE!</v>
      </c>
      <c r="E78" s="12"/>
    </row>
    <row r="79" spans="1:5" ht="36" customHeight="1" x14ac:dyDescent="0.3">
      <c r="A79" s="16">
        <v>72</v>
      </c>
      <c r="B79" s="15" t="s">
        <v>470</v>
      </c>
      <c r="C79" s="14" t="s">
        <v>482</v>
      </c>
      <c r="D79" s="13"/>
      <c r="E79" s="12"/>
    </row>
    <row r="80" spans="1:5" ht="36" customHeight="1" x14ac:dyDescent="0.3">
      <c r="A80" s="16">
        <v>73</v>
      </c>
      <c r="B80" s="15" t="s">
        <v>470</v>
      </c>
      <c r="C80" s="14" t="s">
        <v>481</v>
      </c>
      <c r="D80" s="13" t="s">
        <v>480</v>
      </c>
      <c r="E80" s="12"/>
    </row>
    <row r="81" spans="1:5" ht="36" customHeight="1" x14ac:dyDescent="0.3">
      <c r="A81" s="16">
        <v>74</v>
      </c>
      <c r="B81" s="15" t="s">
        <v>470</v>
      </c>
      <c r="C81" s="14" t="s">
        <v>479</v>
      </c>
      <c r="D81" s="13" t="e">
        <f>MATCH(MIN(O2:O401),O2:O401,0)</f>
        <v>#N/A</v>
      </c>
      <c r="E81" s="12"/>
    </row>
    <row r="82" spans="1:5" ht="36" customHeight="1" x14ac:dyDescent="0.3">
      <c r="A82" s="16">
        <v>75</v>
      </c>
      <c r="B82" s="15" t="s">
        <v>470</v>
      </c>
      <c r="C82" s="14" t="s">
        <v>478</v>
      </c>
      <c r="D82" s="13" t="s">
        <v>477</v>
      </c>
      <c r="E82" s="12"/>
    </row>
    <row r="83" spans="1:5" ht="36" customHeight="1" x14ac:dyDescent="0.3">
      <c r="A83" s="16">
        <v>76</v>
      </c>
      <c r="B83" s="15" t="s">
        <v>470</v>
      </c>
      <c r="C83" s="14" t="s">
        <v>476</v>
      </c>
      <c r="D83" s="13" t="s">
        <v>475</v>
      </c>
      <c r="E83" s="12"/>
    </row>
    <row r="84" spans="1:5" ht="36" customHeight="1" x14ac:dyDescent="0.3">
      <c r="A84" s="16">
        <v>77</v>
      </c>
      <c r="B84" s="15" t="s">
        <v>470</v>
      </c>
      <c r="C84" s="14" t="s">
        <v>474</v>
      </c>
      <c r="D84" s="13" t="e">
        <f>AVERAGE(P2:P401)/STDEV(P2:P401)</f>
        <v>#DIV/0!</v>
      </c>
      <c r="E84" s="12"/>
    </row>
    <row r="85" spans="1:5" ht="36" customHeight="1" x14ac:dyDescent="0.3">
      <c r="A85" s="16">
        <v>78</v>
      </c>
      <c r="B85" s="15" t="s">
        <v>470</v>
      </c>
      <c r="C85" s="14" t="s">
        <v>473</v>
      </c>
      <c r="D85" s="13" t="e">
        <f>SUM(O2:O401)*CHOOSE(P1,1.2,1,0.8)</f>
        <v>#VALUE!</v>
      </c>
      <c r="E85" s="12"/>
    </row>
    <row r="86" spans="1:5" ht="36" customHeight="1" x14ac:dyDescent="0.3">
      <c r="A86" s="16">
        <v>79</v>
      </c>
      <c r="B86" s="15" t="s">
        <v>470</v>
      </c>
      <c r="C86" s="14" t="s">
        <v>472</v>
      </c>
      <c r="D86" s="13" t="s">
        <v>471</v>
      </c>
      <c r="E86" s="12"/>
    </row>
    <row r="87" spans="1:5" ht="36" customHeight="1" x14ac:dyDescent="0.3">
      <c r="A87" s="16">
        <v>80</v>
      </c>
      <c r="B87" s="15" t="s">
        <v>470</v>
      </c>
      <c r="C87" s="14" t="s">
        <v>469</v>
      </c>
      <c r="D87" s="13" t="s">
        <v>468</v>
      </c>
      <c r="E87" s="12"/>
    </row>
  </sheetData>
  <mergeCells count="6">
    <mergeCell ref="A67:E67"/>
    <mergeCell ref="A4:E4"/>
    <mergeCell ref="A2:E2"/>
    <mergeCell ref="A25:E25"/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DB4_StockPortfolio</vt:lpstr>
      <vt:lpstr>Q4_StockPortfolio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SINGH</dc:creator>
  <cp:lastModifiedBy>SUNNY SINGH</cp:lastModifiedBy>
  <dcterms:created xsi:type="dcterms:W3CDTF">2026-07-08T01:52:08Z</dcterms:created>
  <dcterms:modified xsi:type="dcterms:W3CDTF">2026-07-08T01:52:52Z</dcterms:modified>
</cp:coreProperties>
</file>