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417bddbf6525868/Desktop/excel delta/practice/"/>
    </mc:Choice>
  </mc:AlternateContent>
  <xr:revisionPtr revIDLastSave="193" documentId="13_ncr:1_{0B794A1B-828D-4830-A90C-23195EDD6AD3}" xr6:coauthVersionLast="47" xr6:coauthVersionMax="47" xr10:uidLastSave="{0977C511-A7C6-4E7B-A362-8C790518BE25}"/>
  <bookViews>
    <workbookView xWindow="-108" yWindow="-108" windowWidth="23256" windowHeight="12456" xr2:uid="{00000000-000D-0000-FFFF-FFFF00000000}"/>
  </bookViews>
  <sheets>
    <sheet name="DB5_EcommerceSales" sheetId="10" r:id="rId1"/>
    <sheet name="Q5_EcommerceSales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5" i="11" l="1"/>
  <c r="D83" i="11"/>
  <c r="D82" i="11"/>
  <c r="D80" i="11"/>
  <c r="D71" i="11"/>
  <c r="D69" i="11"/>
  <c r="D63" i="11"/>
  <c r="D55" i="11"/>
  <c r="D49" i="11"/>
  <c r="D48" i="11"/>
  <c r="D44" i="11"/>
  <c r="D43" i="11"/>
  <c r="D41" i="11"/>
  <c r="D39" i="11"/>
  <c r="D38" i="11"/>
  <c r="D37" i="11"/>
  <c r="D35" i="11"/>
  <c r="D32" i="11"/>
  <c r="D31" i="11"/>
  <c r="D30" i="11"/>
  <c r="D29" i="11"/>
  <c r="D28" i="11"/>
  <c r="D27" i="11"/>
  <c r="D26" i="11"/>
  <c r="D24" i="11"/>
  <c r="D23" i="11"/>
  <c r="D22" i="11"/>
  <c r="D21" i="11"/>
  <c r="D20" i="11"/>
  <c r="D19" i="11"/>
  <c r="D18" i="11"/>
  <c r="D17" i="11"/>
  <c r="D16" i="11"/>
  <c r="D15" i="11"/>
  <c r="D13" i="11"/>
  <c r="D12" i="11"/>
  <c r="D11" i="11"/>
  <c r="D10" i="11"/>
  <c r="D9" i="11"/>
  <c r="D8" i="11"/>
  <c r="D7" i="11"/>
  <c r="D6" i="11"/>
  <c r="D5" i="11"/>
  <c r="D62" i="11"/>
  <c r="D14" i="11"/>
</calcChain>
</file>

<file path=xl/sharedStrings.xml><?xml version="1.0" encoding="utf-8"?>
<sst xmlns="http://schemas.openxmlformats.org/spreadsheetml/2006/main" count="7419" uniqueCount="1856">
  <si>
    <t>#</t>
  </si>
  <si>
    <t>CustomerID</t>
  </si>
  <si>
    <t>City</t>
  </si>
  <si>
    <t>Delhi</t>
  </si>
  <si>
    <t>Pune</t>
  </si>
  <si>
    <t>Bangalore</t>
  </si>
  <si>
    <t>Chennai</t>
  </si>
  <si>
    <t>Hyderabad</t>
  </si>
  <si>
    <t>Kolkata</t>
  </si>
  <si>
    <t>Mumbai</t>
  </si>
  <si>
    <t>🟢 Basic = Green   🟡 Medium = Yellow   🟠 Intermediate = Orange   🔴 Hard = Red   |   Write your formula in Column E (Your Answer)</t>
  </si>
  <si>
    <t>Level</t>
  </si>
  <si>
    <t>Question</t>
  </si>
  <si>
    <t>Hint / Formula Guide</t>
  </si>
  <si>
    <t>Your Answer (type formula here)</t>
  </si>
  <si>
    <t xml:space="preserve">  ▶  BASIC QUESTIONS</t>
  </si>
  <si>
    <t>Basic</t>
  </si>
  <si>
    <t xml:space="preserve">  ▶  MEDIUM QUESTIONS</t>
  </si>
  <si>
    <t>Medium</t>
  </si>
  <si>
    <t xml:space="preserve">  ▶  INTERMEDIATE QUESTIONS</t>
  </si>
  <si>
    <t>Intermediate</t>
  </si>
  <si>
    <t xml:space="preserve">  ▶  HARD QUESTIONS</t>
  </si>
  <si>
    <t>Hard</t>
  </si>
  <si>
    <t>Ahmedabad</t>
  </si>
  <si>
    <t>Jaipur</t>
  </si>
  <si>
    <t>Surat</t>
  </si>
  <si>
    <t>Data → Sort → Column O → Z to A</t>
  </si>
  <si>
    <t>2 CF rules on column O</t>
  </si>
  <si>
    <t>Click C2 → View → Freeze Panes</t>
  </si>
  <si>
    <t>OrderID</t>
  </si>
  <si>
    <t>Customer_Name</t>
  </si>
  <si>
    <t>State</t>
  </si>
  <si>
    <t>Category</t>
  </si>
  <si>
    <t>Sub_Category</t>
  </si>
  <si>
    <t>Product_Name</t>
  </si>
  <si>
    <t>Quantity</t>
  </si>
  <si>
    <t>Unit_Price</t>
  </si>
  <si>
    <t>Discount_Pct</t>
  </si>
  <si>
    <t>Final_Price</t>
  </si>
  <si>
    <t>Revenue</t>
  </si>
  <si>
    <t>COGS</t>
  </si>
  <si>
    <t>Gross_Profit</t>
  </si>
  <si>
    <t>Margin_Pct</t>
  </si>
  <si>
    <t>Order_Date</t>
  </si>
  <si>
    <t>Ship_Date</t>
  </si>
  <si>
    <t>Ship_Mode</t>
  </si>
  <si>
    <t>Return_Status</t>
  </si>
  <si>
    <t>Channel</t>
  </si>
  <si>
    <t>Sales_Rep</t>
  </si>
  <si>
    <t>ORD30001</t>
  </si>
  <si>
    <t>C2168</t>
  </si>
  <si>
    <t>Customer_271</t>
  </si>
  <si>
    <t>Fashion</t>
  </si>
  <si>
    <t>Jeans</t>
  </si>
  <si>
    <t>Jeans Model 8</t>
  </si>
  <si>
    <t>Express</t>
  </si>
  <si>
    <t>Not Returned</t>
  </si>
  <si>
    <t>Mobile App</t>
  </si>
  <si>
    <t>Bela Rao</t>
  </si>
  <si>
    <t>ORD30002</t>
  </si>
  <si>
    <t>C1657</t>
  </si>
  <si>
    <t>Customer_803</t>
  </si>
  <si>
    <t>Maharashtra</t>
  </si>
  <si>
    <t>Home &amp; Kitchen</t>
  </si>
  <si>
    <t>Sofa</t>
  </si>
  <si>
    <t>Sofa Model 17</t>
  </si>
  <si>
    <t>Same Day</t>
  </si>
  <si>
    <t>Marketplace</t>
  </si>
  <si>
    <t>Charu Singh</t>
  </si>
  <si>
    <t>ORD30003</t>
  </si>
  <si>
    <t>C2016</t>
  </si>
  <si>
    <t>Customer_153</t>
  </si>
  <si>
    <t>Karnataka</t>
  </si>
  <si>
    <t>Books</t>
  </si>
  <si>
    <t>Comics</t>
  </si>
  <si>
    <t>Comics Model 20</t>
  </si>
  <si>
    <t>Economy</t>
  </si>
  <si>
    <t>Social Media</t>
  </si>
  <si>
    <t>Dev Menon</t>
  </si>
  <si>
    <t>ORD30004</t>
  </si>
  <si>
    <t>C1114</t>
  </si>
  <si>
    <t>Customer_426</t>
  </si>
  <si>
    <t>Tamil Nadu</t>
  </si>
  <si>
    <t>Sports</t>
  </si>
  <si>
    <t>Badminton Kit</t>
  </si>
  <si>
    <t>Badminton Kit Model 10</t>
  </si>
  <si>
    <t>Standard</t>
  </si>
  <si>
    <t>Website</t>
  </si>
  <si>
    <t>Esha Pillai</t>
  </si>
  <si>
    <t>ORD30005</t>
  </si>
  <si>
    <t>C2050</t>
  </si>
  <si>
    <t>Customer_379</t>
  </si>
  <si>
    <t>Telangana</t>
  </si>
  <si>
    <t>Electronics</t>
  </si>
  <si>
    <t>Mobile</t>
  </si>
  <si>
    <t>Mobile Model 11</t>
  </si>
  <si>
    <t>Faisal Patel</t>
  </si>
  <si>
    <t>ORD30006</t>
  </si>
  <si>
    <t>C1225</t>
  </si>
  <si>
    <t>Customer_133</t>
  </si>
  <si>
    <t>West Bengal</t>
  </si>
  <si>
    <t>Jeans Model 12</t>
  </si>
  <si>
    <t>Partially Returned</t>
  </si>
  <si>
    <t>Gita Sharma</t>
  </si>
  <si>
    <t>ORD30007</t>
  </si>
  <si>
    <t>C1564</t>
  </si>
  <si>
    <t>Customer_456</t>
  </si>
  <si>
    <t>Gujarat</t>
  </si>
  <si>
    <t>Sofa Model 7</t>
  </si>
  <si>
    <t>Hari Nair</t>
  </si>
  <si>
    <t>ORD30008</t>
  </si>
  <si>
    <t>C1930</t>
  </si>
  <si>
    <t>Customer_904</t>
  </si>
  <si>
    <t>Rajasthan</t>
  </si>
  <si>
    <t>Comics Model 10</t>
  </si>
  <si>
    <t>Isha Verma</t>
  </si>
  <si>
    <t>ORD30009</t>
  </si>
  <si>
    <t>C1499</t>
  </si>
  <si>
    <t>Customer_115</t>
  </si>
  <si>
    <t>Badminton Kit Model 18</t>
  </si>
  <si>
    <t>Jay Kumar</t>
  </si>
  <si>
    <t>ORD30010</t>
  </si>
  <si>
    <t>C1989</t>
  </si>
  <si>
    <t>Customer_134</t>
  </si>
  <si>
    <t>Mobile Model 3</t>
  </si>
  <si>
    <t>Amir Khan</t>
  </si>
  <si>
    <t>ORD30011</t>
  </si>
  <si>
    <t>C1967</t>
  </si>
  <si>
    <t>Customer_997</t>
  </si>
  <si>
    <t>Jeans Model 20</t>
  </si>
  <si>
    <t>ORD30012</t>
  </si>
  <si>
    <t>C1379</t>
  </si>
  <si>
    <t>Customer_828</t>
  </si>
  <si>
    <t>Sofa Model 11</t>
  </si>
  <si>
    <t>ORD30013</t>
  </si>
  <si>
    <t>C2657</t>
  </si>
  <si>
    <t>Customer_442</t>
  </si>
  <si>
    <t>Comics Model 12</t>
  </si>
  <si>
    <t>ORD30014</t>
  </si>
  <si>
    <t>C1188</t>
  </si>
  <si>
    <t>Customer_916</t>
  </si>
  <si>
    <t>Badminton Kit Model 9</t>
  </si>
  <si>
    <t>ORD30015</t>
  </si>
  <si>
    <t>C1146</t>
  </si>
  <si>
    <t>Customer_166</t>
  </si>
  <si>
    <t>Mobile Model 1</t>
  </si>
  <si>
    <t>ORD30016</t>
  </si>
  <si>
    <t>C2877</t>
  </si>
  <si>
    <t>Customer_191</t>
  </si>
  <si>
    <t>Jeans Model 5</t>
  </si>
  <si>
    <t>ORD30017</t>
  </si>
  <si>
    <t>C1230</t>
  </si>
  <si>
    <t>Sofa Model 12</t>
  </si>
  <si>
    <t>ORD30018</t>
  </si>
  <si>
    <t>C2711</t>
  </si>
  <si>
    <t>Customer_116</t>
  </si>
  <si>
    <t>Comics Model 1</t>
  </si>
  <si>
    <t>ORD30019</t>
  </si>
  <si>
    <t>C1200</t>
  </si>
  <si>
    <t>Customer_447</t>
  </si>
  <si>
    <t>Badminton Kit Model 13</t>
  </si>
  <si>
    <t>ORD30020</t>
  </si>
  <si>
    <t>C1262</t>
  </si>
  <si>
    <t>Customer_364</t>
  </si>
  <si>
    <t>Mobile Model 4</t>
  </si>
  <si>
    <t>ORD30021</t>
  </si>
  <si>
    <t>C1663</t>
  </si>
  <si>
    <t>Customer_754</t>
  </si>
  <si>
    <t>ORD30022</t>
  </si>
  <si>
    <t>C1486</t>
  </si>
  <si>
    <t>Customer_413</t>
  </si>
  <si>
    <t>Sofa Model 20</t>
  </si>
  <si>
    <t>ORD30023</t>
  </si>
  <si>
    <t>C1086</t>
  </si>
  <si>
    <t>Customer_392</t>
  </si>
  <si>
    <t>Comics Model 6</t>
  </si>
  <si>
    <t>ORD30024</t>
  </si>
  <si>
    <t>C2658</t>
  </si>
  <si>
    <t>Customer_489</t>
  </si>
  <si>
    <t>Badminton Kit Model 2</t>
  </si>
  <si>
    <t>ORD30025</t>
  </si>
  <si>
    <t>C1158</t>
  </si>
  <si>
    <t>Customer_965</t>
  </si>
  <si>
    <t>Mobile Model 20</t>
  </si>
  <si>
    <t>ORD30026</t>
  </si>
  <si>
    <t>C1787</t>
  </si>
  <si>
    <t>Customer_418</t>
  </si>
  <si>
    <t>Jeans Model 14</t>
  </si>
  <si>
    <t>ORD30027</t>
  </si>
  <si>
    <t>C2975</t>
  </si>
  <si>
    <t>Customer_200</t>
  </si>
  <si>
    <t>ORD30028</t>
  </si>
  <si>
    <t>C1674</t>
  </si>
  <si>
    <t>Customer_588</t>
  </si>
  <si>
    <t>ORD30029</t>
  </si>
  <si>
    <t>C1300</t>
  </si>
  <si>
    <t>Customer_682</t>
  </si>
  <si>
    <t>Badminton Kit Model 17</t>
  </si>
  <si>
    <t>ORD30030</t>
  </si>
  <si>
    <t>C1007</t>
  </si>
  <si>
    <t>Customer_701</t>
  </si>
  <si>
    <t>ORD30031</t>
  </si>
  <si>
    <t>C1886</t>
  </si>
  <si>
    <t>Customer_389</t>
  </si>
  <si>
    <t>ORD30032</t>
  </si>
  <si>
    <t>C2758</t>
  </si>
  <si>
    <t>Customer_595</t>
  </si>
  <si>
    <t>Sofa Model 10</t>
  </si>
  <si>
    <t>ORD30033</t>
  </si>
  <si>
    <t>C2685</t>
  </si>
  <si>
    <t>Customer_351</t>
  </si>
  <si>
    <t>Comics Model 9</t>
  </si>
  <si>
    <t>ORD30034</t>
  </si>
  <si>
    <t>C1883</t>
  </si>
  <si>
    <t>Customer_424</t>
  </si>
  <si>
    <t>Badminton Kit Model 8</t>
  </si>
  <si>
    <t>ORD30035</t>
  </si>
  <si>
    <t>C2208</t>
  </si>
  <si>
    <t>Customer_436</t>
  </si>
  <si>
    <t>Mobile Model 9</t>
  </si>
  <si>
    <t>ORD30036</t>
  </si>
  <si>
    <t>C1127</t>
  </si>
  <si>
    <t>Customer_943</t>
  </si>
  <si>
    <t>ORD30037</t>
  </si>
  <si>
    <t>C1718</t>
  </si>
  <si>
    <t>Customer_349</t>
  </si>
  <si>
    <t>Sofa Model 2</t>
  </si>
  <si>
    <t>ORD30038</t>
  </si>
  <si>
    <t>C1621</t>
  </si>
  <si>
    <t>Customer_180</t>
  </si>
  <si>
    <t>Comics Model 11</t>
  </si>
  <si>
    <t>ORD30039</t>
  </si>
  <si>
    <t>C1362</t>
  </si>
  <si>
    <t>Customer_578</t>
  </si>
  <si>
    <t>Badminton Kit Model 12</t>
  </si>
  <si>
    <t>Returned</t>
  </si>
  <si>
    <t>ORD30040</t>
  </si>
  <si>
    <t>C2212</t>
  </si>
  <si>
    <t>Customer_164</t>
  </si>
  <si>
    <t>Mobile Model 14</t>
  </si>
  <si>
    <t>ORD30041</t>
  </si>
  <si>
    <t>C1843</t>
  </si>
  <si>
    <t>Customer_345</t>
  </si>
  <si>
    <t>Jeans Model 6</t>
  </si>
  <si>
    <t>ORD30042</t>
  </si>
  <si>
    <t>C1023</t>
  </si>
  <si>
    <t>Customer_727</t>
  </si>
  <si>
    <t>ORD30043</t>
  </si>
  <si>
    <t>C2480</t>
  </si>
  <si>
    <t>Customer_455</t>
  </si>
  <si>
    <t>ORD30044</t>
  </si>
  <si>
    <t>C2870</t>
  </si>
  <si>
    <t>Customer_275</t>
  </si>
  <si>
    <t>Badminton Kit Model 5</t>
  </si>
  <si>
    <t>ORD30045</t>
  </si>
  <si>
    <t>C2462</t>
  </si>
  <si>
    <t>Customer_118</t>
  </si>
  <si>
    <t>ORD30046</t>
  </si>
  <si>
    <t>C2697</t>
  </si>
  <si>
    <t>Customer_560</t>
  </si>
  <si>
    <t>Jeans Model 3</t>
  </si>
  <si>
    <t>ORD30047</t>
  </si>
  <si>
    <t>C1734</t>
  </si>
  <si>
    <t>Customer_856</t>
  </si>
  <si>
    <t>ORD30048</t>
  </si>
  <si>
    <t>C2130</t>
  </si>
  <si>
    <t>Customer_952</t>
  </si>
  <si>
    <t>Comics Model 8</t>
  </si>
  <si>
    <t>ORD30049</t>
  </si>
  <si>
    <t>C2408</t>
  </si>
  <si>
    <t>Customer_703</t>
  </si>
  <si>
    <t>ORD30050</t>
  </si>
  <si>
    <t>C1313</t>
  </si>
  <si>
    <t>Customer_772</t>
  </si>
  <si>
    <t>ORD30051</t>
  </si>
  <si>
    <t>C2603</t>
  </si>
  <si>
    <t>Customer_658</t>
  </si>
  <si>
    <t>Jeans Model 2</t>
  </si>
  <si>
    <t>ORD30052</t>
  </si>
  <si>
    <t>C1524</t>
  </si>
  <si>
    <t>Customer_969</t>
  </si>
  <si>
    <t>ORD30053</t>
  </si>
  <si>
    <t>C1206</t>
  </si>
  <si>
    <t>Customer_123</t>
  </si>
  <si>
    <t>ORD30054</t>
  </si>
  <si>
    <t>C2935</t>
  </si>
  <si>
    <t>Customer_880</t>
  </si>
  <si>
    <t>Badminton Kit Model 15</t>
  </si>
  <si>
    <t>ORD30055</t>
  </si>
  <si>
    <t>C2659</t>
  </si>
  <si>
    <t>Customer_709</t>
  </si>
  <si>
    <t>Mobile Model 17</t>
  </si>
  <si>
    <t>ORD30056</t>
  </si>
  <si>
    <t>C1696</t>
  </si>
  <si>
    <t>Jeans Model 13</t>
  </si>
  <si>
    <t>ORD30057</t>
  </si>
  <si>
    <t>C2853</t>
  </si>
  <si>
    <t>Customer_289</t>
  </si>
  <si>
    <t>ORD30058</t>
  </si>
  <si>
    <t>C2059</t>
  </si>
  <si>
    <t>Customer_185</t>
  </si>
  <si>
    <t>ORD30059</t>
  </si>
  <si>
    <t>C2546</t>
  </si>
  <si>
    <t>Customer_400</t>
  </si>
  <si>
    <t>Badminton Kit Model 19</t>
  </si>
  <si>
    <t>ORD30060</t>
  </si>
  <si>
    <t>C2656</t>
  </si>
  <si>
    <t>Customer_453</t>
  </si>
  <si>
    <t>Mobile Model 13</t>
  </si>
  <si>
    <t>ORD30061</t>
  </si>
  <si>
    <t>C2999</t>
  </si>
  <si>
    <t>Customer_557</t>
  </si>
  <si>
    <t>Jeans Model 19</t>
  </si>
  <si>
    <t>ORD30062</t>
  </si>
  <si>
    <t>C1653</t>
  </si>
  <si>
    <t>Customer_112</t>
  </si>
  <si>
    <t>ORD30063</t>
  </si>
  <si>
    <t>C1724</t>
  </si>
  <si>
    <t>Customer_831</t>
  </si>
  <si>
    <t>Comics Model 5</t>
  </si>
  <si>
    <t>ORD30064</t>
  </si>
  <si>
    <t>C2830</t>
  </si>
  <si>
    <t>Customer_899</t>
  </si>
  <si>
    <t>ORD30065</t>
  </si>
  <si>
    <t>C1332</t>
  </si>
  <si>
    <t>Customer_181</t>
  </si>
  <si>
    <t>ORD30066</t>
  </si>
  <si>
    <t>C1940</t>
  </si>
  <si>
    <t>Customer_713</t>
  </si>
  <si>
    <t>ORD30067</t>
  </si>
  <si>
    <t>C2913</t>
  </si>
  <si>
    <t>Customer_705</t>
  </si>
  <si>
    <t>Sofa Model 6</t>
  </si>
  <si>
    <t>ORD30068</t>
  </si>
  <si>
    <t>C1849</t>
  </si>
  <si>
    <t>Customer_851</t>
  </si>
  <si>
    <t>ORD30069</t>
  </si>
  <si>
    <t>C2355</t>
  </si>
  <si>
    <t>Customer_801</t>
  </si>
  <si>
    <t>Badminton Kit Model 7</t>
  </si>
  <si>
    <t>ORD30070</t>
  </si>
  <si>
    <t>C1741</t>
  </si>
  <si>
    <t>ORD30071</t>
  </si>
  <si>
    <t>C1202</t>
  </si>
  <si>
    <t>Customer_369</t>
  </si>
  <si>
    <t>ORD30072</t>
  </si>
  <si>
    <t>Customer_481</t>
  </si>
  <si>
    <t>Sofa Model 4</t>
  </si>
  <si>
    <t>ORD30073</t>
  </si>
  <si>
    <t>C1742</t>
  </si>
  <si>
    <t>Customer_430</t>
  </si>
  <si>
    <t>Comics Model 4</t>
  </si>
  <si>
    <t>ORD30074</t>
  </si>
  <si>
    <t>C2217</t>
  </si>
  <si>
    <t>Customer_780</t>
  </si>
  <si>
    <t>ORD30075</t>
  </si>
  <si>
    <t>C1065</t>
  </si>
  <si>
    <t>Customer_878</t>
  </si>
  <si>
    <t>Mobile Model 5</t>
  </si>
  <si>
    <t>ORD30076</t>
  </si>
  <si>
    <t>C1553</t>
  </si>
  <si>
    <t>Customer_763</t>
  </si>
  <si>
    <t>ORD30077</t>
  </si>
  <si>
    <t>C2954</t>
  </si>
  <si>
    <t>Customer_610</t>
  </si>
  <si>
    <t>ORD30078</t>
  </si>
  <si>
    <t>C1526</t>
  </si>
  <si>
    <t>Customer_384</t>
  </si>
  <si>
    <t>ORD30079</t>
  </si>
  <si>
    <t>C1454</t>
  </si>
  <si>
    <t>Customer_869</t>
  </si>
  <si>
    <t>ORD30080</t>
  </si>
  <si>
    <t>C2992</t>
  </si>
  <si>
    <t>Customer_674</t>
  </si>
  <si>
    <t>Mobile Model 7</t>
  </si>
  <si>
    <t>ORD30081</t>
  </si>
  <si>
    <t>C1636</t>
  </si>
  <si>
    <t>Customer_433</t>
  </si>
  <si>
    <t>Jeans Model 10</t>
  </si>
  <si>
    <t>ORD30082</t>
  </si>
  <si>
    <t>C2904</t>
  </si>
  <si>
    <t>Customer_924</t>
  </si>
  <si>
    <t>Sofa Model 18</t>
  </si>
  <si>
    <t>ORD30083</t>
  </si>
  <si>
    <t>C1205</t>
  </si>
  <si>
    <t>Customer_979</t>
  </si>
  <si>
    <t>Comics Model 15</t>
  </si>
  <si>
    <t>ORD30084</t>
  </si>
  <si>
    <t>C1034</t>
  </si>
  <si>
    <t>Customer_265</t>
  </si>
  <si>
    <t>ORD30085</t>
  </si>
  <si>
    <t>C1117</t>
  </si>
  <si>
    <t>Customer_264</t>
  </si>
  <si>
    <t>Mobile Model 2</t>
  </si>
  <si>
    <t>ORD30086</t>
  </si>
  <si>
    <t>C1178</t>
  </si>
  <si>
    <t>Customer_974</t>
  </si>
  <si>
    <t>ORD30087</t>
  </si>
  <si>
    <t>C1459</t>
  </si>
  <si>
    <t>Customer_720</t>
  </si>
  <si>
    <t>ORD30088</t>
  </si>
  <si>
    <t>C1070</t>
  </si>
  <si>
    <t>Customer_847</t>
  </si>
  <si>
    <t>Comics Model 13</t>
  </si>
  <si>
    <t>ORD30089</t>
  </si>
  <si>
    <t>C2581</t>
  </si>
  <si>
    <t>Customer_690</t>
  </si>
  <si>
    <t>Badminton Kit Model 11</t>
  </si>
  <si>
    <t>ORD30090</t>
  </si>
  <si>
    <t>C2526</t>
  </si>
  <si>
    <t>Customer_383</t>
  </si>
  <si>
    <t>ORD30091</t>
  </si>
  <si>
    <t>C1352</t>
  </si>
  <si>
    <t>Customer_313</t>
  </si>
  <si>
    <t>ORD30092</t>
  </si>
  <si>
    <t>C2073</t>
  </si>
  <si>
    <t>Customer_918</t>
  </si>
  <si>
    <t>ORD30093</t>
  </si>
  <si>
    <t>C2951</t>
  </si>
  <si>
    <t>Customer_582</t>
  </si>
  <si>
    <t>Comics Model 3</t>
  </si>
  <si>
    <t>ORD30094</t>
  </si>
  <si>
    <t>C1662</t>
  </si>
  <si>
    <t>Customer_574</t>
  </si>
  <si>
    <t>ORD30095</t>
  </si>
  <si>
    <t>C2129</t>
  </si>
  <si>
    <t>Customer_512</t>
  </si>
  <si>
    <t>ORD30096</t>
  </si>
  <si>
    <t>C1704</t>
  </si>
  <si>
    <t>Customer_105</t>
  </si>
  <si>
    <t>ORD30097</t>
  </si>
  <si>
    <t>C1208</t>
  </si>
  <si>
    <t>Customer_362</t>
  </si>
  <si>
    <t>ORD30098</t>
  </si>
  <si>
    <t>C2022</t>
  </si>
  <si>
    <t>Customer_249</t>
  </si>
  <si>
    <t>ORD30099</t>
  </si>
  <si>
    <t>C1622</t>
  </si>
  <si>
    <t>Customer_860</t>
  </si>
  <si>
    <t>Badminton Kit Model 3</t>
  </si>
  <si>
    <t>ORD30100</t>
  </si>
  <si>
    <t>C1012</t>
  </si>
  <si>
    <t>Customer_782</t>
  </si>
  <si>
    <t>Mobile Model 18</t>
  </si>
  <si>
    <t>ORD30101</t>
  </si>
  <si>
    <t>C1004</t>
  </si>
  <si>
    <t>Customer_665</t>
  </si>
  <si>
    <t>Jeans Model 11</t>
  </si>
  <si>
    <t>ORD30102</t>
  </si>
  <si>
    <t>C1423</t>
  </si>
  <si>
    <t>Customer_786</t>
  </si>
  <si>
    <t>Sofa Model 16</t>
  </si>
  <si>
    <t>ORD30103</t>
  </si>
  <si>
    <t>C2772</t>
  </si>
  <si>
    <t>Customer_296</t>
  </si>
  <si>
    <t>Comics Model 18</t>
  </si>
  <si>
    <t>ORD30104</t>
  </si>
  <si>
    <t>C1398</t>
  </si>
  <si>
    <t>ORD30105</t>
  </si>
  <si>
    <t>C2287</t>
  </si>
  <si>
    <t>Customer_688</t>
  </si>
  <si>
    <t>ORD30106</t>
  </si>
  <si>
    <t>C2199</t>
  </si>
  <si>
    <t>Customer_440</t>
  </si>
  <si>
    <t>Jeans Model 16</t>
  </si>
  <si>
    <t>ORD30107</t>
  </si>
  <si>
    <t>C2291</t>
  </si>
  <si>
    <t>Customer_405</t>
  </si>
  <si>
    <t>ORD30108</t>
  </si>
  <si>
    <t>C1809</t>
  </si>
  <si>
    <t>Customer_734</t>
  </si>
  <si>
    <t>Comics Model 19</t>
  </si>
  <si>
    <t>ORD30109</t>
  </si>
  <si>
    <t>C1485</t>
  </si>
  <si>
    <t>Customer_176</t>
  </si>
  <si>
    <t>ORD30110</t>
  </si>
  <si>
    <t>C2202</t>
  </si>
  <si>
    <t>Customer_671</t>
  </si>
  <si>
    <t>Mobile Model 12</t>
  </si>
  <si>
    <t>ORD30111</t>
  </si>
  <si>
    <t>C1720</t>
  </si>
  <si>
    <t>Customer_913</t>
  </si>
  <si>
    <t>ORD30112</t>
  </si>
  <si>
    <t>C2234</t>
  </si>
  <si>
    <t>Customer_226</t>
  </si>
  <si>
    <t>ORD30113</t>
  </si>
  <si>
    <t>C2424</t>
  </si>
  <si>
    <t>Customer_321</t>
  </si>
  <si>
    <t>ORD30114</t>
  </si>
  <si>
    <t>C1837</t>
  </si>
  <si>
    <t>Customer_950</t>
  </si>
  <si>
    <t>Badminton Kit Model 4</t>
  </si>
  <si>
    <t>ORD30115</t>
  </si>
  <si>
    <t>C1542</t>
  </si>
  <si>
    <t>Customer_287</t>
  </si>
  <si>
    <t>ORD30116</t>
  </si>
  <si>
    <t>C1401</t>
  </si>
  <si>
    <t>ORD30117</t>
  </si>
  <si>
    <t>C1355</t>
  </si>
  <si>
    <t>Customer_460</t>
  </si>
  <si>
    <t>ORD30118</t>
  </si>
  <si>
    <t>C1256</t>
  </si>
  <si>
    <t>Customer_618</t>
  </si>
  <si>
    <t>ORD30119</t>
  </si>
  <si>
    <t>C2203</t>
  </si>
  <si>
    <t>Customer_760</t>
  </si>
  <si>
    <t>ORD30120</t>
  </si>
  <si>
    <t>C2451</t>
  </si>
  <si>
    <t>Customer_766</t>
  </si>
  <si>
    <t>Mobile Model 15</t>
  </si>
  <si>
    <t>ORD30121</t>
  </si>
  <si>
    <t>C2068</t>
  </si>
  <si>
    <t>Customer_807</t>
  </si>
  <si>
    <t>ORD30122</t>
  </si>
  <si>
    <t>C2055</t>
  </si>
  <si>
    <t>Customer_145</t>
  </si>
  <si>
    <t>ORD30123</t>
  </si>
  <si>
    <t>C1045</t>
  </si>
  <si>
    <t>Customer_129</t>
  </si>
  <si>
    <t>ORD30124</t>
  </si>
  <si>
    <t>C1503</t>
  </si>
  <si>
    <t>Customer_130</t>
  </si>
  <si>
    <t>Badminton Kit Model 16</t>
  </si>
  <si>
    <t>ORD30125</t>
  </si>
  <si>
    <t>C2442</t>
  </si>
  <si>
    <t>Customer_672</t>
  </si>
  <si>
    <t>ORD30126</t>
  </si>
  <si>
    <t>C1251</t>
  </si>
  <si>
    <t>Jeans Model 18</t>
  </si>
  <si>
    <t>ORD30127</t>
  </si>
  <si>
    <t>C2052</t>
  </si>
  <si>
    <t>Customer_439</t>
  </si>
  <si>
    <t>ORD30128</t>
  </si>
  <si>
    <t>C2655</t>
  </si>
  <si>
    <t>ORD30129</t>
  </si>
  <si>
    <t>Customer_228</t>
  </si>
  <si>
    <t>Badminton Kit Model 1</t>
  </si>
  <si>
    <t>ORD30130</t>
  </si>
  <si>
    <t>C2321</t>
  </si>
  <si>
    <t>Customer_855</t>
  </si>
  <si>
    <t>ORD30131</t>
  </si>
  <si>
    <t>C1431</t>
  </si>
  <si>
    <t>Customer_711</t>
  </si>
  <si>
    <t>ORD30132</t>
  </si>
  <si>
    <t>C1869</t>
  </si>
  <si>
    <t>Sofa Model 19</t>
  </si>
  <si>
    <t>ORD30133</t>
  </si>
  <si>
    <t>C1960</t>
  </si>
  <si>
    <t>Customer_306</t>
  </si>
  <si>
    <t>ORD30134</t>
  </si>
  <si>
    <t>C1547</t>
  </si>
  <si>
    <t>Customer_570</t>
  </si>
  <si>
    <t>ORD30135</t>
  </si>
  <si>
    <t>C2654</t>
  </si>
  <si>
    <t>Customer_575</t>
  </si>
  <si>
    <t>ORD30136</t>
  </si>
  <si>
    <t>C1628</t>
  </si>
  <si>
    <t>ORD30137</t>
  </si>
  <si>
    <t>C2029</t>
  </si>
  <si>
    <t>Customer_781</t>
  </si>
  <si>
    <t>ORD30138</t>
  </si>
  <si>
    <t>C1525</t>
  </si>
  <si>
    <t>Comics Model 14</t>
  </si>
  <si>
    <t>ORD30139</t>
  </si>
  <si>
    <t>C2956</t>
  </si>
  <si>
    <t>Customer_742</t>
  </si>
  <si>
    <t>Badminton Kit Model 14</t>
  </si>
  <si>
    <t>ORD30140</t>
  </si>
  <si>
    <t>C1277</t>
  </si>
  <si>
    <t>Customer_761</t>
  </si>
  <si>
    <t>ORD30141</t>
  </si>
  <si>
    <t>C2420</t>
  </si>
  <si>
    <t>ORD30142</t>
  </si>
  <si>
    <t>C1717</t>
  </si>
  <si>
    <t>ORD30143</t>
  </si>
  <si>
    <t>C2599</t>
  </si>
  <si>
    <t>Customer_707</t>
  </si>
  <si>
    <t>Comics Model 16</t>
  </si>
  <si>
    <t>ORD30144</t>
  </si>
  <si>
    <t>C2816</t>
  </si>
  <si>
    <t>Customer_506</t>
  </si>
  <si>
    <t>ORD30145</t>
  </si>
  <si>
    <t>Customer_767</t>
  </si>
  <si>
    <t>ORD30146</t>
  </si>
  <si>
    <t>Customer_163</t>
  </si>
  <si>
    <t>ORD30147</t>
  </si>
  <si>
    <t>C2785</t>
  </si>
  <si>
    <t>Customer_561</t>
  </si>
  <si>
    <t>Sofa Model 14</t>
  </si>
  <si>
    <t>ORD30148</t>
  </si>
  <si>
    <t>Customer_605</t>
  </si>
  <si>
    <t>Comics Model 7</t>
  </si>
  <si>
    <t>ORD30149</t>
  </si>
  <si>
    <t>C2023</t>
  </si>
  <si>
    <t>ORD30150</t>
  </si>
  <si>
    <t>C1712</t>
  </si>
  <si>
    <t>Customer_188</t>
  </si>
  <si>
    <t>ORD30151</t>
  </si>
  <si>
    <t>C2485</t>
  </si>
  <si>
    <t>Customer_124</t>
  </si>
  <si>
    <t>ORD30152</t>
  </si>
  <si>
    <t>C2706</t>
  </si>
  <si>
    <t>ORD30153</t>
  </si>
  <si>
    <t>C1220</t>
  </si>
  <si>
    <t>ORD30154</t>
  </si>
  <si>
    <t>C2065</t>
  </si>
  <si>
    <t>Customer_126</t>
  </si>
  <si>
    <t>ORD30155</t>
  </si>
  <si>
    <t>C1765</t>
  </si>
  <si>
    <t>Customer_748</t>
  </si>
  <si>
    <t>ORD30156</t>
  </si>
  <si>
    <t>C2132</t>
  </si>
  <si>
    <t>Customer_247</t>
  </si>
  <si>
    <t>Jeans Model 4</t>
  </si>
  <si>
    <t>ORD30157</t>
  </si>
  <si>
    <t>C1879</t>
  </si>
  <si>
    <t>Customer_960</t>
  </si>
  <si>
    <t>Sofa Model 1</t>
  </si>
  <si>
    <t>ORD30158</t>
  </si>
  <si>
    <t>C2608</t>
  </si>
  <si>
    <t>Customer_948</t>
  </si>
  <si>
    <t>ORD30159</t>
  </si>
  <si>
    <t>ORD30160</t>
  </si>
  <si>
    <t>C2135</t>
  </si>
  <si>
    <t>Customer_222</t>
  </si>
  <si>
    <t>Mobile Model 6</t>
  </si>
  <si>
    <t>ORD30161</t>
  </si>
  <si>
    <t>C2249</t>
  </si>
  <si>
    <t>Customer_354</t>
  </si>
  <si>
    <t>ORD30162</t>
  </si>
  <si>
    <t>C2615</t>
  </si>
  <si>
    <t>Customer_814</t>
  </si>
  <si>
    <t>Sofa Model 8</t>
  </si>
  <si>
    <t>ORD30163</t>
  </si>
  <si>
    <t>Customer_581</t>
  </si>
  <si>
    <t>ORD30164</t>
  </si>
  <si>
    <t>C2876</t>
  </si>
  <si>
    <t>ORD30165</t>
  </si>
  <si>
    <t>C2141</t>
  </si>
  <si>
    <t>ORD30166</t>
  </si>
  <si>
    <t>C1669</t>
  </si>
  <si>
    <t>Customer_687</t>
  </si>
  <si>
    <t>ORD30167</t>
  </si>
  <si>
    <t>C1054</t>
  </si>
  <si>
    <t>Customer_863</t>
  </si>
  <si>
    <t>ORD30168</t>
  </si>
  <si>
    <t>C2936</t>
  </si>
  <si>
    <t>Customer_224</t>
  </si>
  <si>
    <t>ORD30169</t>
  </si>
  <si>
    <t>C2062</t>
  </si>
  <si>
    <t>Customer_269</t>
  </si>
  <si>
    <t>ORD30170</t>
  </si>
  <si>
    <t>C1403</t>
  </si>
  <si>
    <t>Customer_280</t>
  </si>
  <si>
    <t>ORD30171</t>
  </si>
  <si>
    <t>C2467</t>
  </si>
  <si>
    <t>Customer_132</t>
  </si>
  <si>
    <t>Jeans Model 7</t>
  </si>
  <si>
    <t>ORD30172</t>
  </si>
  <si>
    <t>C2857</t>
  </si>
  <si>
    <t>Customer_834</t>
  </si>
  <si>
    <t>ORD30173</t>
  </si>
  <si>
    <t>C1975</t>
  </si>
  <si>
    <t>Customer_441</t>
  </si>
  <si>
    <t>ORD30174</t>
  </si>
  <si>
    <t>Customer_107</t>
  </si>
  <si>
    <t>ORD30175</t>
  </si>
  <si>
    <t>C2333</t>
  </si>
  <si>
    <t>Customer_144</t>
  </si>
  <si>
    <t>ORD30176</t>
  </si>
  <si>
    <t>C2890</t>
  </si>
  <si>
    <t>Customer_636</t>
  </si>
  <si>
    <t>ORD30177</t>
  </si>
  <si>
    <t>C1296</t>
  </si>
  <si>
    <t>Customer_358</t>
  </si>
  <si>
    <t>ORD30178</t>
  </si>
  <si>
    <t>C1122</t>
  </si>
  <si>
    <t>Customer_821</t>
  </si>
  <si>
    <t>ORD30179</t>
  </si>
  <si>
    <t>C2593</t>
  </si>
  <si>
    <t>Customer_768</t>
  </si>
  <si>
    <t>ORD30180</t>
  </si>
  <si>
    <t>C1548</t>
  </si>
  <si>
    <t>Customer_225</t>
  </si>
  <si>
    <t>ORD30181</t>
  </si>
  <si>
    <t>C2100</t>
  </si>
  <si>
    <t>Customer_764</t>
  </si>
  <si>
    <t>ORD30182</t>
  </si>
  <si>
    <t>C1440</t>
  </si>
  <si>
    <t>Customer_501</t>
  </si>
  <si>
    <t>Sofa Model 13</t>
  </si>
  <si>
    <t>ORD30183</t>
  </si>
  <si>
    <t>C2851</t>
  </si>
  <si>
    <t>ORD30184</t>
  </si>
  <si>
    <t>C1748</t>
  </si>
  <si>
    <t>Customer_623</t>
  </si>
  <si>
    <t>ORD30185</t>
  </si>
  <si>
    <t>C2465</t>
  </si>
  <si>
    <t>Customer_495</t>
  </si>
  <si>
    <t>Mobile Model 10</t>
  </si>
  <si>
    <t>ORD30186</t>
  </si>
  <si>
    <t>C1890</t>
  </si>
  <si>
    <t>Customer_205</t>
  </si>
  <si>
    <t>Jeans Model 9</t>
  </si>
  <si>
    <t>ORD30187</t>
  </si>
  <si>
    <t>C1761</t>
  </si>
  <si>
    <t>Customer_492</t>
  </si>
  <si>
    <t>Sofa Model 15</t>
  </si>
  <si>
    <t>ORD30188</t>
  </si>
  <si>
    <t>C1371</t>
  </si>
  <si>
    <t>Customer_475</t>
  </si>
  <si>
    <t>ORD30189</t>
  </si>
  <si>
    <t>C1833</t>
  </si>
  <si>
    <t>ORD30190</t>
  </si>
  <si>
    <t>C1549</t>
  </si>
  <si>
    <t>Customer_551</t>
  </si>
  <si>
    <t>ORD30191</t>
  </si>
  <si>
    <t>C2977</t>
  </si>
  <si>
    <t>Customer_312</t>
  </si>
  <si>
    <t>ORD30192</t>
  </si>
  <si>
    <t>C1487</t>
  </si>
  <si>
    <t>Customer_499</t>
  </si>
  <si>
    <t>ORD30193</t>
  </si>
  <si>
    <t>Customer_496</t>
  </si>
  <si>
    <t>ORD30194</t>
  </si>
  <si>
    <t>C2660</t>
  </si>
  <si>
    <t>Customer_113</t>
  </si>
  <si>
    <t>ORD30195</t>
  </si>
  <si>
    <t>C1134</t>
  </si>
  <si>
    <t>Customer_138</t>
  </si>
  <si>
    <t>ORD30196</t>
  </si>
  <si>
    <t>C2471</t>
  </si>
  <si>
    <t>Customer_967</t>
  </si>
  <si>
    <t>ORD30197</t>
  </si>
  <si>
    <t>C2682</t>
  </si>
  <si>
    <t>Sofa Model 9</t>
  </si>
  <si>
    <t>ORD30198</t>
  </si>
  <si>
    <t>C2364</t>
  </si>
  <si>
    <t>ORD30199</t>
  </si>
  <si>
    <t>C1860</t>
  </si>
  <si>
    <t>Customer_968</t>
  </si>
  <si>
    <t>ORD30200</t>
  </si>
  <si>
    <t>C1991</t>
  </si>
  <si>
    <t>Customer_945</t>
  </si>
  <si>
    <t>ORD30201</t>
  </si>
  <si>
    <t>C2057</t>
  </si>
  <si>
    <t>Customer_861</t>
  </si>
  <si>
    <t>ORD30202</t>
  </si>
  <si>
    <t>C2351</t>
  </si>
  <si>
    <t>Customer_954</t>
  </si>
  <si>
    <t>ORD30203</t>
  </si>
  <si>
    <t>C1757</t>
  </si>
  <si>
    <t>Customer_937</t>
  </si>
  <si>
    <t>ORD30204</t>
  </si>
  <si>
    <t>C1887</t>
  </si>
  <si>
    <t>Customer_523</t>
  </si>
  <si>
    <t>ORD30205</t>
  </si>
  <si>
    <t>C2432</t>
  </si>
  <si>
    <t>ORD30206</t>
  </si>
  <si>
    <t>C2104</t>
  </si>
  <si>
    <t>Customer_905</t>
  </si>
  <si>
    <t>ORD30207</t>
  </si>
  <si>
    <t>C2378</t>
  </si>
  <si>
    <t>Customer_462</t>
  </si>
  <si>
    <t>ORD30208</t>
  </si>
  <si>
    <t>C1191</t>
  </si>
  <si>
    <t>Customer_794</t>
  </si>
  <si>
    <t>ORD30209</t>
  </si>
  <si>
    <t>C1596</t>
  </si>
  <si>
    <t>Customer_815</t>
  </si>
  <si>
    <t>ORD30210</t>
  </si>
  <si>
    <t>C1726</t>
  </si>
  <si>
    <t>Customer_395</t>
  </si>
  <si>
    <t>ORD30211</t>
  </si>
  <si>
    <t>C2576</t>
  </si>
  <si>
    <t>ORD30212</t>
  </si>
  <si>
    <t>C1279</t>
  </si>
  <si>
    <t>Customer_431</t>
  </si>
  <si>
    <t>ORD30213</t>
  </si>
  <si>
    <t>C2561</t>
  </si>
  <si>
    <t>Customer_452</t>
  </si>
  <si>
    <t>Comics Model 17</t>
  </si>
  <si>
    <t>ORD30214</t>
  </si>
  <si>
    <t>C2694</t>
  </si>
  <si>
    <t>Customer_534</t>
  </si>
  <si>
    <t>ORD30215</t>
  </si>
  <si>
    <t>C2002</t>
  </si>
  <si>
    <t>Customer_259</t>
  </si>
  <si>
    <t>ORD30216</t>
  </si>
  <si>
    <t>C2343</t>
  </si>
  <si>
    <t>ORD30217</t>
  </si>
  <si>
    <t>C1185</t>
  </si>
  <si>
    <t>Customer_787</t>
  </si>
  <si>
    <t>ORD30218</t>
  </si>
  <si>
    <t>C1293</t>
  </si>
  <si>
    <t>Customer_518</t>
  </si>
  <si>
    <t>Comics Model 2</t>
  </si>
  <si>
    <t>ORD30219</t>
  </si>
  <si>
    <t>C1676</t>
  </si>
  <si>
    <t>Customer_172</t>
  </si>
  <si>
    <t>ORD30220</t>
  </si>
  <si>
    <t>C1453</t>
  </si>
  <si>
    <t>ORD30221</t>
  </si>
  <si>
    <t>C2971</t>
  </si>
  <si>
    <t>Customer_356</t>
  </si>
  <si>
    <t>Jeans Model 17</t>
  </si>
  <si>
    <t>ORD30222</t>
  </si>
  <si>
    <t>C1911</t>
  </si>
  <si>
    <t>Customer_335</t>
  </si>
  <si>
    <t>ORD30223</t>
  </si>
  <si>
    <t>C2381</t>
  </si>
  <si>
    <t>Customer_165</t>
  </si>
  <si>
    <t>ORD30224</t>
  </si>
  <si>
    <t>C2506</t>
  </si>
  <si>
    <t>Customer_566</t>
  </si>
  <si>
    <t>ORD30225</t>
  </si>
  <si>
    <t>C2454</t>
  </si>
  <si>
    <t>Customer_994</t>
  </si>
  <si>
    <t>ORD30226</t>
  </si>
  <si>
    <t>Customer_927</t>
  </si>
  <si>
    <t>ORD30227</t>
  </si>
  <si>
    <t>C1949</t>
  </si>
  <si>
    <t>Customer_603</t>
  </si>
  <si>
    <t>Sofa Model 5</t>
  </si>
  <si>
    <t>ORD30228</t>
  </si>
  <si>
    <t>C2094</t>
  </si>
  <si>
    <t>Customer_643</t>
  </si>
  <si>
    <t>ORD30229</t>
  </si>
  <si>
    <t>C1268</t>
  </si>
  <si>
    <t>ORD30230</t>
  </si>
  <si>
    <t>C2370</t>
  </si>
  <si>
    <t>ORD30231</t>
  </si>
  <si>
    <t>C2475</t>
  </si>
  <si>
    <t>Customer_463</t>
  </si>
  <si>
    <t>ORD30232</t>
  </si>
  <si>
    <t>C1187</t>
  </si>
  <si>
    <t>Customer_357</t>
  </si>
  <si>
    <t>ORD30233</t>
  </si>
  <si>
    <t>Customer_282</t>
  </si>
  <si>
    <t>ORD30234</t>
  </si>
  <si>
    <t>C2207</t>
  </si>
  <si>
    <t>ORD30235</t>
  </si>
  <si>
    <t>C1132</t>
  </si>
  <si>
    <t>Customer_998</t>
  </si>
  <si>
    <t>ORD30236</t>
  </si>
  <si>
    <t>C1444</t>
  </si>
  <si>
    <t>Customer_758</t>
  </si>
  <si>
    <t>ORD30237</t>
  </si>
  <si>
    <t>C2386</t>
  </si>
  <si>
    <t>Customer_601</t>
  </si>
  <si>
    <t>ORD30238</t>
  </si>
  <si>
    <t>C2248</t>
  </si>
  <si>
    <t>Customer_679</t>
  </si>
  <si>
    <t>ORD30239</t>
  </si>
  <si>
    <t>C2318</t>
  </si>
  <si>
    <t>ORD30240</t>
  </si>
  <si>
    <t>C1984</t>
  </si>
  <si>
    <t>Customer_614</t>
  </si>
  <si>
    <t>ORD30241</t>
  </si>
  <si>
    <t>C2194</t>
  </si>
  <si>
    <t>Customer_638</t>
  </si>
  <si>
    <t>ORD30242</t>
  </si>
  <si>
    <t>C2369</t>
  </si>
  <si>
    <t>ORD30243</t>
  </si>
  <si>
    <t>C2829</t>
  </si>
  <si>
    <t>ORD30244</t>
  </si>
  <si>
    <t>C1090</t>
  </si>
  <si>
    <t>Customer_122</t>
  </si>
  <si>
    <t>ORD30245</t>
  </si>
  <si>
    <t>C2590</t>
  </si>
  <si>
    <t>Customer_730</t>
  </si>
  <si>
    <t>ORD30246</t>
  </si>
  <si>
    <t>C2376</t>
  </si>
  <si>
    <t>Customer_530</t>
  </si>
  <si>
    <t>ORD30247</t>
  </si>
  <si>
    <t>C1338</t>
  </si>
  <si>
    <t>Customer_691</t>
  </si>
  <si>
    <t>ORD30248</t>
  </si>
  <si>
    <t>Customer_951</t>
  </si>
  <si>
    <t>ORD30249</t>
  </si>
  <si>
    <t>C2466</t>
  </si>
  <si>
    <t>Customer_835</t>
  </si>
  <si>
    <t>ORD30250</t>
  </si>
  <si>
    <t>C2668</t>
  </si>
  <si>
    <t>ORD30251</t>
  </si>
  <si>
    <t>C2547</t>
  </si>
  <si>
    <t>Customer_206</t>
  </si>
  <si>
    <t>Jeans Model 1</t>
  </si>
  <si>
    <t>ORD30252</t>
  </si>
  <si>
    <t>C2997</t>
  </si>
  <si>
    <t>Customer_583</t>
  </si>
  <si>
    <t>ORD30253</t>
  </si>
  <si>
    <t>C2080</t>
  </si>
  <si>
    <t>Customer_719</t>
  </si>
  <si>
    <t>ORD30254</t>
  </si>
  <si>
    <t>C1759</t>
  </si>
  <si>
    <t>Customer_597</t>
  </si>
  <si>
    <t>ORD30255</t>
  </si>
  <si>
    <t>C2918</t>
  </si>
  <si>
    <t>ORD30256</t>
  </si>
  <si>
    <t>C1515</t>
  </si>
  <si>
    <t>Customer_435</t>
  </si>
  <si>
    <t>ORD30257</t>
  </si>
  <si>
    <t>Customer_445</t>
  </si>
  <si>
    <t>ORD30258</t>
  </si>
  <si>
    <t>C1260</t>
  </si>
  <si>
    <t>Customer_698</t>
  </si>
  <si>
    <t>ORD30259</t>
  </si>
  <si>
    <t>C2362</t>
  </si>
  <si>
    <t>Customer_922</t>
  </si>
  <si>
    <t>ORD30260</t>
  </si>
  <si>
    <t>Customer_759</t>
  </si>
  <si>
    <t>ORD30261</t>
  </si>
  <si>
    <t>C1425</t>
  </si>
  <si>
    <t>Customer_584</t>
  </si>
  <si>
    <t>ORD30262</t>
  </si>
  <si>
    <t>C2030</t>
  </si>
  <si>
    <t>Customer_329</t>
  </si>
  <si>
    <t>ORD30263</t>
  </si>
  <si>
    <t>Customer_775</t>
  </si>
  <si>
    <t>ORD30264</t>
  </si>
  <si>
    <t>C1871</t>
  </si>
  <si>
    <t>Customer_196</t>
  </si>
  <si>
    <t>ORD30265</t>
  </si>
  <si>
    <t>C2645</t>
  </si>
  <si>
    <t>Customer_348</t>
  </si>
  <si>
    <t>ORD30266</t>
  </si>
  <si>
    <t>C2953</t>
  </si>
  <si>
    <t>Customer_657</t>
  </si>
  <si>
    <t>ORD30267</t>
  </si>
  <si>
    <t>C2516</t>
  </si>
  <si>
    <t>Customer_555</t>
  </si>
  <si>
    <t>ORD30268</t>
  </si>
  <si>
    <t>C2730</t>
  </si>
  <si>
    <t>Customer_493</t>
  </si>
  <si>
    <t>ORD30269</t>
  </si>
  <si>
    <t>C2107</t>
  </si>
  <si>
    <t>Customer_322</t>
  </si>
  <si>
    <t>ORD30270</t>
  </si>
  <si>
    <t>C2307</t>
  </si>
  <si>
    <t>Customer_569</t>
  </si>
  <si>
    <t>ORD30271</t>
  </si>
  <si>
    <t>C2738</t>
  </si>
  <si>
    <t>Customer_953</t>
  </si>
  <si>
    <t>ORD30272</t>
  </si>
  <si>
    <t>C2281</t>
  </si>
  <si>
    <t>ORD30273</t>
  </si>
  <si>
    <t>C2183</t>
  </si>
  <si>
    <t>Customer_587</t>
  </si>
  <si>
    <t>ORD30274</t>
  </si>
  <si>
    <t>C1878</t>
  </si>
  <si>
    <t>ORD30275</t>
  </si>
  <si>
    <t>C1077</t>
  </si>
  <si>
    <t>ORD30276</t>
  </si>
  <si>
    <t>C1303</t>
  </si>
  <si>
    <t>Customer_215</t>
  </si>
  <si>
    <t>Jeans Model 15</t>
  </si>
  <si>
    <t>ORD30277</t>
  </si>
  <si>
    <t>C2169</t>
  </si>
  <si>
    <t>Customer_676</t>
  </si>
  <si>
    <t>ORD30278</t>
  </si>
  <si>
    <t>C2760</t>
  </si>
  <si>
    <t>ORD30279</t>
  </si>
  <si>
    <t>C1418</t>
  </si>
  <si>
    <t>ORD30280</t>
  </si>
  <si>
    <t>C1089</t>
  </si>
  <si>
    <t>Customer_514</t>
  </si>
  <si>
    <t>ORD30281</t>
  </si>
  <si>
    <t>C2938</t>
  </si>
  <si>
    <t>ORD30282</t>
  </si>
  <si>
    <t>C1344</t>
  </si>
  <si>
    <t>Customer_946</t>
  </si>
  <si>
    <t>ORD30283</t>
  </si>
  <si>
    <t>C1342</t>
  </si>
  <si>
    <t>Customer_696</t>
  </si>
  <si>
    <t>ORD30284</t>
  </si>
  <si>
    <t>C2045</t>
  </si>
  <si>
    <t>Customer_192</t>
  </si>
  <si>
    <t>ORD30285</t>
  </si>
  <si>
    <t>C1892</t>
  </si>
  <si>
    <t>Customer_381</t>
  </si>
  <si>
    <t>ORD30286</t>
  </si>
  <si>
    <t>C1248</t>
  </si>
  <si>
    <t>Customer_429</t>
  </si>
  <si>
    <t>ORD30287</t>
  </si>
  <si>
    <t>C2808</t>
  </si>
  <si>
    <t>Customer_649</t>
  </si>
  <si>
    <t>ORD30288</t>
  </si>
  <si>
    <t>C1138</t>
  </si>
  <si>
    <t>Customer_486</t>
  </si>
  <si>
    <t>ORD30289</t>
  </si>
  <si>
    <t>C2881</t>
  </si>
  <si>
    <t>Customer_285</t>
  </si>
  <si>
    <t>ORD30290</t>
  </si>
  <si>
    <t>C1802</t>
  </si>
  <si>
    <t>Customer_539</t>
  </si>
  <si>
    <t>ORD30291</t>
  </si>
  <si>
    <t>C1939</t>
  </si>
  <si>
    <t>Customer_189</t>
  </si>
  <si>
    <t>ORD30292</t>
  </si>
  <si>
    <t>ORD30293</t>
  </si>
  <si>
    <t>C2430</t>
  </si>
  <si>
    <t>Customer_376</t>
  </si>
  <si>
    <t>ORD30294</t>
  </si>
  <si>
    <t>C2185</t>
  </si>
  <si>
    <t>Customer_824</t>
  </si>
  <si>
    <t>ORD30295</t>
  </si>
  <si>
    <t>C2477</t>
  </si>
  <si>
    <t>Customer_339</t>
  </si>
  <si>
    <t>ORD30296</t>
  </si>
  <si>
    <t>C1415</t>
  </si>
  <si>
    <t>Customer_921</t>
  </si>
  <si>
    <t>ORD30297</t>
  </si>
  <si>
    <t>C1818</t>
  </si>
  <si>
    <t>Customer_373</t>
  </si>
  <si>
    <t>ORD30298</t>
  </si>
  <si>
    <t>C1903</t>
  </si>
  <si>
    <t>Customer_156</t>
  </si>
  <si>
    <t>ORD30299</t>
  </si>
  <si>
    <t>C1608</t>
  </si>
  <si>
    <t>Customer_366</t>
  </si>
  <si>
    <t>Badminton Kit Model 6</t>
  </si>
  <si>
    <t>ORD30300</t>
  </si>
  <si>
    <t>C2855</t>
  </si>
  <si>
    <t>Customer_644</t>
  </si>
  <si>
    <t>ORD30301</t>
  </si>
  <si>
    <t>C2632</t>
  </si>
  <si>
    <t>Customer_414</t>
  </si>
  <si>
    <t>ORD30302</t>
  </si>
  <si>
    <t>C2528</t>
  </si>
  <si>
    <t>Customer_966</t>
  </si>
  <si>
    <t>ORD30303</t>
  </si>
  <si>
    <t>C2336</t>
  </si>
  <si>
    <t>Customer_467</t>
  </si>
  <si>
    <t>ORD30304</t>
  </si>
  <si>
    <t>C1173</t>
  </si>
  <si>
    <t>ORD30305</t>
  </si>
  <si>
    <t>C1493</t>
  </si>
  <si>
    <t>ORD30306</t>
  </si>
  <si>
    <t>Customer_526</t>
  </si>
  <si>
    <t>ORD30307</t>
  </si>
  <si>
    <t>C1824</t>
  </si>
  <si>
    <t>Customer_736</t>
  </si>
  <si>
    <t>ORD30308</t>
  </si>
  <si>
    <t>C1508</t>
  </si>
  <si>
    <t>Customer_829</t>
  </si>
  <si>
    <t>ORD30309</t>
  </si>
  <si>
    <t>C2275</t>
  </si>
  <si>
    <t>ORD30310</t>
  </si>
  <si>
    <t>C1784</t>
  </si>
  <si>
    <t>Customer_110</t>
  </si>
  <si>
    <t>Mobile Model 16</t>
  </si>
  <si>
    <t>ORD30311</t>
  </si>
  <si>
    <t>C1196</t>
  </si>
  <si>
    <t>Customer_675</t>
  </si>
  <si>
    <t>ORD30312</t>
  </si>
  <si>
    <t>C1729</t>
  </si>
  <si>
    <t>Customer_743</t>
  </si>
  <si>
    <t>ORD30313</t>
  </si>
  <si>
    <t>C1737</t>
  </si>
  <si>
    <t>Customer_182</t>
  </si>
  <si>
    <t>ORD30314</t>
  </si>
  <si>
    <t>C2815</t>
  </si>
  <si>
    <t>Customer_858</t>
  </si>
  <si>
    <t>ORD30315</t>
  </si>
  <si>
    <t>C1872</t>
  </si>
  <si>
    <t>Customer_190</t>
  </si>
  <si>
    <t>ORD30316</t>
  </si>
  <si>
    <t>C1000</t>
  </si>
  <si>
    <t>Customer_550</t>
  </si>
  <si>
    <t>ORD30317</t>
  </si>
  <si>
    <t>C2268</t>
  </si>
  <si>
    <t>Customer_890</t>
  </si>
  <si>
    <t>ORD30318</t>
  </si>
  <si>
    <t>C2663</t>
  </si>
  <si>
    <t>ORD30319</t>
  </si>
  <si>
    <t>C2630</t>
  </si>
  <si>
    <t>Customer_651</t>
  </si>
  <si>
    <t>ORD30320</t>
  </si>
  <si>
    <t>C2044</t>
  </si>
  <si>
    <t>ORD30321</t>
  </si>
  <si>
    <t>C2769</t>
  </si>
  <si>
    <t>ORD30322</t>
  </si>
  <si>
    <t>C1732</t>
  </si>
  <si>
    <t>Customer_266</t>
  </si>
  <si>
    <t>ORD30323</t>
  </si>
  <si>
    <t>C2764</t>
  </si>
  <si>
    <t>ORD30324</t>
  </si>
  <si>
    <t>Customer_427</t>
  </si>
  <si>
    <t>ORD30325</t>
  </si>
  <si>
    <t>C2366</t>
  </si>
  <si>
    <t>ORD30326</t>
  </si>
  <si>
    <t>C1774</t>
  </si>
  <si>
    <t>Customer_437</t>
  </si>
  <si>
    <t>ORD30327</t>
  </si>
  <si>
    <t>Customer_540</t>
  </si>
  <si>
    <t>ORD30328</t>
  </si>
  <si>
    <t>C2670</t>
  </si>
  <si>
    <t>Customer_628</t>
  </si>
  <si>
    <t>ORD30329</t>
  </si>
  <si>
    <t>C1815</t>
  </si>
  <si>
    <t>Customer_646</t>
  </si>
  <si>
    <t>ORD30330</t>
  </si>
  <si>
    <t>Customer_235</t>
  </si>
  <si>
    <t>ORD30331</t>
  </si>
  <si>
    <t>C1559</t>
  </si>
  <si>
    <t>Customer_409</t>
  </si>
  <si>
    <t>ORD30332</t>
  </si>
  <si>
    <t>C2490</t>
  </si>
  <si>
    <t>ORD30333</t>
  </si>
  <si>
    <t>Customer_896</t>
  </si>
  <si>
    <t>ORD30334</t>
  </si>
  <si>
    <t>C1038</t>
  </si>
  <si>
    <t>Customer_396</t>
  </si>
  <si>
    <t>ORD30335</t>
  </si>
  <si>
    <t>C2204</t>
  </si>
  <si>
    <t>Customer_822</t>
  </si>
  <si>
    <t>ORD30336</t>
  </si>
  <si>
    <t>C1926</t>
  </si>
  <si>
    <t>ORD30337</t>
  </si>
  <si>
    <t>C2525</t>
  </si>
  <si>
    <t>Customer_137</t>
  </si>
  <si>
    <t>ORD30338</t>
  </si>
  <si>
    <t>C1289</t>
  </si>
  <si>
    <t>Customer_608</t>
  </si>
  <si>
    <t>ORD30339</t>
  </si>
  <si>
    <t>Customer_490</t>
  </si>
  <si>
    <t>ORD30340</t>
  </si>
  <si>
    <t>C2407</t>
  </si>
  <si>
    <t>ORD30341</t>
  </si>
  <si>
    <t>C2124</t>
  </si>
  <si>
    <t>ORD30342</t>
  </si>
  <si>
    <t>Customer_790</t>
  </si>
  <si>
    <t>ORD30343</t>
  </si>
  <si>
    <t>C1368</t>
  </si>
  <si>
    <t>Customer_299</t>
  </si>
  <si>
    <t>ORD30344</t>
  </si>
  <si>
    <t>C1404</t>
  </si>
  <si>
    <t>ORD30345</t>
  </si>
  <si>
    <t>C2731</t>
  </si>
  <si>
    <t>Customer_886</t>
  </si>
  <si>
    <t>ORD30346</t>
  </si>
  <si>
    <t>C2508</t>
  </si>
  <si>
    <t>Customer_300</t>
  </si>
  <si>
    <t>ORD30347</t>
  </si>
  <si>
    <t>C1935</t>
  </si>
  <si>
    <t>Customer_689</t>
  </si>
  <si>
    <t>ORD30348</t>
  </si>
  <si>
    <t>C2181</t>
  </si>
  <si>
    <t>ORD30349</t>
  </si>
  <si>
    <t>ORD30350</t>
  </si>
  <si>
    <t>C2254</t>
  </si>
  <si>
    <t>Customer_548</t>
  </si>
  <si>
    <t>ORD30351</t>
  </si>
  <si>
    <t>ORD30352</t>
  </si>
  <si>
    <t>C1584</t>
  </si>
  <si>
    <t>ORD30353</t>
  </si>
  <si>
    <t>ORD30354</t>
  </si>
  <si>
    <t>C1585</t>
  </si>
  <si>
    <t>Customer_168</t>
  </si>
  <si>
    <t>ORD30355</t>
  </si>
  <si>
    <t>C1862</t>
  </si>
  <si>
    <t>ORD30356</t>
  </si>
  <si>
    <t>C2520</t>
  </si>
  <si>
    <t>Customer_355</t>
  </si>
  <si>
    <t>ORD30357</t>
  </si>
  <si>
    <t>C1990</t>
  </si>
  <si>
    <t>Customer_310</t>
  </si>
  <si>
    <t>ORD30358</t>
  </si>
  <si>
    <t>C1036</t>
  </si>
  <si>
    <t>ORD30359</t>
  </si>
  <si>
    <t>C2762</t>
  </si>
  <si>
    <t>Customer_284</t>
  </si>
  <si>
    <t>ORD30360</t>
  </si>
  <si>
    <t>C2261</t>
  </si>
  <si>
    <t>Customer_162</t>
  </si>
  <si>
    <t>ORD30361</t>
  </si>
  <si>
    <t>C2696</t>
  </si>
  <si>
    <t>Customer_268</t>
  </si>
  <si>
    <t>ORD30362</t>
  </si>
  <si>
    <t>C2691</t>
  </si>
  <si>
    <t>ORD30363</t>
  </si>
  <si>
    <t>C2865</t>
  </si>
  <si>
    <t>ORD30364</t>
  </si>
  <si>
    <t>ORD30365</t>
  </si>
  <si>
    <t>C1022</t>
  </si>
  <si>
    <t>Customer_805</t>
  </si>
  <si>
    <t>ORD30366</t>
  </si>
  <si>
    <t>C1356</t>
  </si>
  <si>
    <t>Customer_461</t>
  </si>
  <si>
    <t>ORD30367</t>
  </si>
  <si>
    <t>C2742</t>
  </si>
  <si>
    <t>ORD30368</t>
  </si>
  <si>
    <t>C1076</t>
  </si>
  <si>
    <t>Customer_699</t>
  </si>
  <si>
    <t>ORD30369</t>
  </si>
  <si>
    <t>C1490</t>
  </si>
  <si>
    <t>ORD30370</t>
  </si>
  <si>
    <t>C1010</t>
  </si>
  <si>
    <t>Customer_422</t>
  </si>
  <si>
    <t>ORD30371</t>
  </si>
  <si>
    <t>C1974</t>
  </si>
  <si>
    <t>ORD30372</t>
  </si>
  <si>
    <t>C1523</t>
  </si>
  <si>
    <t>ORD30373</t>
  </si>
  <si>
    <t>C2182</t>
  </si>
  <si>
    <t>Customer_211</t>
  </si>
  <si>
    <t>ORD30374</t>
  </si>
  <si>
    <t>C2831</t>
  </si>
  <si>
    <t>Customer_350</t>
  </si>
  <si>
    <t>ORD30375</t>
  </si>
  <si>
    <t>C1168</t>
  </si>
  <si>
    <t>Customer_454</t>
  </si>
  <si>
    <t>ORD30376</t>
  </si>
  <si>
    <t>C2702</t>
  </si>
  <si>
    <t>Customer_178</t>
  </si>
  <si>
    <t>ORD30377</t>
  </si>
  <si>
    <t>C2814</t>
  </si>
  <si>
    <t>ORD30378</t>
  </si>
  <si>
    <t>C1956</t>
  </si>
  <si>
    <t>Customer_745</t>
  </si>
  <si>
    <t>ORD30379</t>
  </si>
  <si>
    <t>ORD30380</t>
  </si>
  <si>
    <t>C1902</t>
  </si>
  <si>
    <t>Customer_818</t>
  </si>
  <si>
    <t>ORD30381</t>
  </si>
  <si>
    <t>C2139</t>
  </si>
  <si>
    <t>Customer_100</t>
  </si>
  <si>
    <t>ORD30382</t>
  </si>
  <si>
    <t>C1016</t>
  </si>
  <si>
    <t>Customer_186</t>
  </si>
  <si>
    <t>ORD30383</t>
  </si>
  <si>
    <t>C2046</t>
  </si>
  <si>
    <t>Customer_261</t>
  </si>
  <si>
    <t>ORD30384</t>
  </si>
  <si>
    <t>C2252</t>
  </si>
  <si>
    <t>Customer_670</t>
  </si>
  <si>
    <t>ORD30385</t>
  </si>
  <si>
    <t>C1420</t>
  </si>
  <si>
    <t>Customer_160</t>
  </si>
  <si>
    <t>Mobile Model 19</t>
  </si>
  <si>
    <t>ORD30386</t>
  </si>
  <si>
    <t>C1789</t>
  </si>
  <si>
    <t>Customer_663</t>
  </si>
  <si>
    <t>ORD30387</t>
  </si>
  <si>
    <t>C1236</t>
  </si>
  <si>
    <t>Customer_932</t>
  </si>
  <si>
    <t>ORD30388</t>
  </si>
  <si>
    <t>C2948</t>
  </si>
  <si>
    <t>ORD30389</t>
  </si>
  <si>
    <t>C1783</t>
  </si>
  <si>
    <t>Customer_813</t>
  </si>
  <si>
    <t>ORD30390</t>
  </si>
  <si>
    <t>C1512</t>
  </si>
  <si>
    <t>Customer_802</t>
  </si>
  <si>
    <t>ORD30391</t>
  </si>
  <si>
    <t>C2220</t>
  </si>
  <si>
    <t>Customer_580</t>
  </si>
  <si>
    <t>ORD30392</t>
  </si>
  <si>
    <t>C2482</t>
  </si>
  <si>
    <t>ORD30393</t>
  </si>
  <si>
    <t>C2308</t>
  </si>
  <si>
    <t>Customer_111</t>
  </si>
  <si>
    <t>ORD30394</t>
  </si>
  <si>
    <t>C1306</t>
  </si>
  <si>
    <t>Customer_257</t>
  </si>
  <si>
    <t>ORD30395</t>
  </si>
  <si>
    <t>C1518</t>
  </si>
  <si>
    <t>Customer_388</t>
  </si>
  <si>
    <t>Mobile Model 8</t>
  </si>
  <si>
    <t>ORD30396</t>
  </si>
  <si>
    <t>C2072</t>
  </si>
  <si>
    <t>Customer_635</t>
  </si>
  <si>
    <t>ORD30397</t>
  </si>
  <si>
    <t>Customer_785</t>
  </si>
  <si>
    <t>ORD30398</t>
  </si>
  <si>
    <t>C2144</t>
  </si>
  <si>
    <t>Customer_251</t>
  </si>
  <si>
    <t>ORD30399</t>
  </si>
  <si>
    <t>C1858</t>
  </si>
  <si>
    <t>ORD30400</t>
  </si>
  <si>
    <t>Customer_497</t>
  </si>
  <si>
    <t>ORD30401</t>
  </si>
  <si>
    <t>ORD30402</t>
  </si>
  <si>
    <t>C2511</t>
  </si>
  <si>
    <t>Customer_594</t>
  </si>
  <si>
    <t>ORD30403</t>
  </si>
  <si>
    <t>C2457</t>
  </si>
  <si>
    <t>ORD30404</t>
  </si>
  <si>
    <t>C2724</t>
  </si>
  <si>
    <t>Customer_106</t>
  </si>
  <si>
    <t>ORD30405</t>
  </si>
  <si>
    <t>C1703</t>
  </si>
  <si>
    <t>ORD30406</t>
  </si>
  <si>
    <t>C1417</t>
  </si>
  <si>
    <t>ORD30407</t>
  </si>
  <si>
    <t>C2305</t>
  </si>
  <si>
    <t>ORD30408</t>
  </si>
  <si>
    <t>C1891</t>
  </si>
  <si>
    <t>Customer_527</t>
  </si>
  <si>
    <t>ORD30409</t>
  </si>
  <si>
    <t>Customer_565</t>
  </si>
  <si>
    <t>ORD30410</t>
  </si>
  <si>
    <t>C2950</t>
  </si>
  <si>
    <t>Customer_308</t>
  </si>
  <si>
    <t>ORD30411</t>
  </si>
  <si>
    <t>C1635</t>
  </si>
  <si>
    <t>Customer_104</t>
  </si>
  <si>
    <t>ORD30412</t>
  </si>
  <si>
    <t>C2756</t>
  </si>
  <si>
    <t>Customer_627</t>
  </si>
  <si>
    <t>ORD30413</t>
  </si>
  <si>
    <t>C2085</t>
  </si>
  <si>
    <t>ORD30414</t>
  </si>
  <si>
    <t>C2629</t>
  </si>
  <si>
    <t>ORD30415</t>
  </si>
  <si>
    <t>C1216</t>
  </si>
  <si>
    <t>Customer_872</t>
  </si>
  <si>
    <t>ORD30416</t>
  </si>
  <si>
    <t>C2449</t>
  </si>
  <si>
    <t>ORD30417</t>
  </si>
  <si>
    <t>C1710</t>
  </si>
  <si>
    <t>Customer_895</t>
  </si>
  <si>
    <t>ORD30418</t>
  </si>
  <si>
    <t>Customer_804</t>
  </si>
  <si>
    <t>ORD30419</t>
  </si>
  <si>
    <t>C2841</t>
  </si>
  <si>
    <t>ORD30420</t>
  </si>
  <si>
    <t>Customer_836</t>
  </si>
  <si>
    <t>ORD30421</t>
  </si>
  <si>
    <t>C2920</t>
  </si>
  <si>
    <t>Customer_210</t>
  </si>
  <si>
    <t>ORD30422</t>
  </si>
  <si>
    <t>C2042</t>
  </si>
  <si>
    <t>Customer_721</t>
  </si>
  <si>
    <t>ORD30423</t>
  </si>
  <si>
    <t>C2963</t>
  </si>
  <si>
    <t>ORD30424</t>
  </si>
  <si>
    <t>C1217</t>
  </si>
  <si>
    <t>Customer_387</t>
  </si>
  <si>
    <t>ORD30425</t>
  </si>
  <si>
    <t>C1951</t>
  </si>
  <si>
    <t>Customer_910</t>
  </si>
  <si>
    <t>ORD30426</t>
  </si>
  <si>
    <t>C1539</t>
  </si>
  <si>
    <t>Customer_955</t>
  </si>
  <si>
    <t>ORD30427</t>
  </si>
  <si>
    <t>Customer_212</t>
  </si>
  <si>
    <t>ORD30428</t>
  </si>
  <si>
    <t>C2241</t>
  </si>
  <si>
    <t>ORD30429</t>
  </si>
  <si>
    <t>ORD30430</t>
  </si>
  <si>
    <t>C2863</t>
  </si>
  <si>
    <t>Customer_961</t>
  </si>
  <si>
    <t>ORD30431</t>
  </si>
  <si>
    <t>C1733</t>
  </si>
  <si>
    <t>ORD30432</t>
  </si>
  <si>
    <t>C1722</t>
  </si>
  <si>
    <t>Customer_811</t>
  </si>
  <si>
    <t>ORD30433</t>
  </si>
  <si>
    <t>C1683</t>
  </si>
  <si>
    <t>ORD30434</t>
  </si>
  <si>
    <t>C1913</t>
  </si>
  <si>
    <t>Customer_103</t>
  </si>
  <si>
    <t>ORD30435</t>
  </si>
  <si>
    <t>C2322</t>
  </si>
  <si>
    <t>Customer_716</t>
  </si>
  <si>
    <t>ORD30436</t>
  </si>
  <si>
    <t>C2025</t>
  </si>
  <si>
    <t>ORD30437</t>
  </si>
  <si>
    <t>C2399</t>
  </si>
  <si>
    <t>Customer_468</t>
  </si>
  <si>
    <t>Sofa Model 3</t>
  </si>
  <si>
    <t>ORD30438</t>
  </si>
  <si>
    <t>C2640</t>
  </si>
  <si>
    <t>Customer_198</t>
  </si>
  <si>
    <t>ORD30439</t>
  </si>
  <si>
    <t>C2679</t>
  </si>
  <si>
    <t>Customer_917</t>
  </si>
  <si>
    <t>ORD30440</t>
  </si>
  <si>
    <t>C1184</t>
  </si>
  <si>
    <t>ORD30441</t>
  </si>
  <si>
    <t>Customer_647</t>
  </si>
  <si>
    <t>ORD30442</t>
  </si>
  <si>
    <t>C1750</t>
  </si>
  <si>
    <t>ORD30443</t>
  </si>
  <si>
    <t>C1390</t>
  </si>
  <si>
    <t>Customer_625</t>
  </si>
  <si>
    <t>ORD30444</t>
  </si>
  <si>
    <t>Customer_420</t>
  </si>
  <si>
    <t>ORD30445</t>
  </si>
  <si>
    <t>ORD30446</t>
  </si>
  <si>
    <t>C1141</t>
  </si>
  <si>
    <t>ORD30447</t>
  </si>
  <si>
    <t>C2401</t>
  </si>
  <si>
    <t>ORD30448</t>
  </si>
  <si>
    <t>C1530</t>
  </si>
  <si>
    <t>ORD30449</t>
  </si>
  <si>
    <t>C2838</t>
  </si>
  <si>
    <t>Badminton Kit Model 20</t>
  </si>
  <si>
    <t>ORD30450</t>
  </si>
  <si>
    <t>C1602</t>
  </si>
  <si>
    <t>ORD30451</t>
  </si>
  <si>
    <t>C1058</t>
  </si>
  <si>
    <t>ORD30452</t>
  </si>
  <si>
    <t>Customer_620</t>
  </si>
  <si>
    <t>ORD30453</t>
  </si>
  <si>
    <t>C1386</t>
  </si>
  <si>
    <t>ORD30454</t>
  </si>
  <si>
    <t>C1923</t>
  </si>
  <si>
    <t>ORD30455</t>
  </si>
  <si>
    <t>C2166</t>
  </si>
  <si>
    <t>ORD30456</t>
  </si>
  <si>
    <t>C2031</t>
  </si>
  <si>
    <t>Customer_302</t>
  </si>
  <si>
    <t>ORD30457</t>
  </si>
  <si>
    <t>C1095</t>
  </si>
  <si>
    <t>ORD30458</t>
  </si>
  <si>
    <t>C1605</t>
  </si>
  <si>
    <t>Customer_789</t>
  </si>
  <si>
    <t>ORD30459</t>
  </si>
  <si>
    <t>C2848</t>
  </si>
  <si>
    <t>ORD30460</t>
  </si>
  <si>
    <t>Customer_593</t>
  </si>
  <si>
    <t>ORD30461</t>
  </si>
  <si>
    <t>C2786</t>
  </si>
  <si>
    <t>Customer_827</t>
  </si>
  <si>
    <t>ORD30462</t>
  </si>
  <si>
    <t>C2532</t>
  </si>
  <si>
    <t>Customer_680</t>
  </si>
  <si>
    <t>ORD30463</t>
  </si>
  <si>
    <t>C2005</t>
  </si>
  <si>
    <t>Customer_737</t>
  </si>
  <si>
    <t>ORD30464</t>
  </si>
  <si>
    <t>C2113</t>
  </si>
  <si>
    <t>ORD30465</t>
  </si>
  <si>
    <t>C1273</t>
  </si>
  <si>
    <t>Customer_203</t>
  </si>
  <si>
    <t>ORD30466</t>
  </si>
  <si>
    <t>C1501</t>
  </si>
  <si>
    <t>Customer_669</t>
  </si>
  <si>
    <t>ORD30467</t>
  </si>
  <si>
    <t>C1462</t>
  </si>
  <si>
    <t>Customer_544</t>
  </si>
  <si>
    <t>ORD30468</t>
  </si>
  <si>
    <t>C1817</t>
  </si>
  <si>
    <t>ORD30469</t>
  </si>
  <si>
    <t>Customer_879</t>
  </si>
  <si>
    <t>ORD30470</t>
  </si>
  <si>
    <t>Customer_380</t>
  </si>
  <si>
    <t>ORD30471</t>
  </si>
  <si>
    <t>C1312</t>
  </si>
  <si>
    <t>Customer_715</t>
  </si>
  <si>
    <t>ORD30472</t>
  </si>
  <si>
    <t>C2600</t>
  </si>
  <si>
    <t>Customer_613</t>
  </si>
  <si>
    <t>ORD30473</t>
  </si>
  <si>
    <t>C1510</t>
  </si>
  <si>
    <t>Customer_522</t>
  </si>
  <si>
    <t>ORD30474</t>
  </si>
  <si>
    <t>C1606</t>
  </si>
  <si>
    <t>ORD30475</t>
  </si>
  <si>
    <t>C1317</t>
  </si>
  <si>
    <t>Customer_465</t>
  </si>
  <si>
    <t>ORD30476</t>
  </si>
  <si>
    <t>C1238</t>
  </si>
  <si>
    <t>ORD30477</t>
  </si>
  <si>
    <t>C1120</t>
  </si>
  <si>
    <t>Customer_330</t>
  </si>
  <si>
    <t>ORD30478</t>
  </si>
  <si>
    <t>C1866</t>
  </si>
  <si>
    <t>ORD30479</t>
  </si>
  <si>
    <t>C1357</t>
  </si>
  <si>
    <t>Customer_929</t>
  </si>
  <si>
    <t>ORD30480</t>
  </si>
  <si>
    <t>C1889</t>
  </si>
  <si>
    <t>Customer_317</t>
  </si>
  <si>
    <t>ORD30481</t>
  </si>
  <si>
    <t>C1985</t>
  </si>
  <si>
    <t>Customer_141</t>
  </si>
  <si>
    <t>ORD30482</t>
  </si>
  <si>
    <t>ORD30483</t>
  </si>
  <si>
    <t>C1964</t>
  </si>
  <si>
    <t>ORD30484</t>
  </si>
  <si>
    <t>C2902</t>
  </si>
  <si>
    <t>Customer_873</t>
  </si>
  <si>
    <t>ORD30485</t>
  </si>
  <si>
    <t>Customer_655</t>
  </si>
  <si>
    <t>ORD30486</t>
  </si>
  <si>
    <t>C2069</t>
  </si>
  <si>
    <t>Customer_833</t>
  </si>
  <si>
    <t>ORD30487</t>
  </si>
  <si>
    <t>ORD30488</t>
  </si>
  <si>
    <t>ORD30489</t>
  </si>
  <si>
    <t>ORD30490</t>
  </si>
  <si>
    <t>C1161</t>
  </si>
  <si>
    <t>Customer_741</t>
  </si>
  <si>
    <t>ORD30491</t>
  </si>
  <si>
    <t>ORD30492</t>
  </si>
  <si>
    <t>C1995</t>
  </si>
  <si>
    <t>Customer_903</t>
  </si>
  <si>
    <t>ORD30493</t>
  </si>
  <si>
    <t>C2417</t>
  </si>
  <si>
    <t>Customer_579</t>
  </si>
  <si>
    <t>ORD30494</t>
  </si>
  <si>
    <t>C2578</t>
  </si>
  <si>
    <t>ORD30495</t>
  </si>
  <si>
    <t>C2122</t>
  </si>
  <si>
    <t>Customer_397</t>
  </si>
  <si>
    <t>ORD30496</t>
  </si>
  <si>
    <t>C1685</t>
  </si>
  <si>
    <t>Customer_857</t>
  </si>
  <si>
    <t>ORD30497</t>
  </si>
  <si>
    <t>C2510</t>
  </si>
  <si>
    <t>ORD30498</t>
  </si>
  <si>
    <t>C1738</t>
  </si>
  <si>
    <t>ORD30499</t>
  </si>
  <si>
    <t>C1799</t>
  </si>
  <si>
    <t>ORD30500</t>
  </si>
  <si>
    <t>C1295</t>
  </si>
  <si>
    <t>Customer_972</t>
  </si>
  <si>
    <t>ORD30501</t>
  </si>
  <si>
    <t>C2542</t>
  </si>
  <si>
    <t>Customer_947</t>
  </si>
  <si>
    <t>ORD30502</t>
  </si>
  <si>
    <t>C2298</t>
  </si>
  <si>
    <t>ORD30503</t>
  </si>
  <si>
    <t>C1323</t>
  </si>
  <si>
    <t>ORD30504</t>
  </si>
  <si>
    <t>C1551</t>
  </si>
  <si>
    <t>ORD30505</t>
  </si>
  <si>
    <t>C2233</t>
  </si>
  <si>
    <t>Customer_956</t>
  </si>
  <si>
    <t>ORD30506</t>
  </si>
  <si>
    <t>C2276</t>
  </si>
  <si>
    <t>ORD30507</t>
  </si>
  <si>
    <t>C2827</t>
  </si>
  <si>
    <t>Customer_685</t>
  </si>
  <si>
    <t>ORD30508</t>
  </si>
  <si>
    <t>ORD30509</t>
  </si>
  <si>
    <t>C2049</t>
  </si>
  <si>
    <t>ORD30510</t>
  </si>
  <si>
    <t>C3000</t>
  </si>
  <si>
    <t>ORD30511</t>
  </si>
  <si>
    <t>C2518</t>
  </si>
  <si>
    <t>ORD30512</t>
  </si>
  <si>
    <t>C1170</t>
  </si>
  <si>
    <t>Customer_634</t>
  </si>
  <si>
    <t>ORD30513</t>
  </si>
  <si>
    <t>ORD30514</t>
  </si>
  <si>
    <t>Customer_254</t>
  </si>
  <si>
    <t>ORD30515</t>
  </si>
  <si>
    <t>C1447</t>
  </si>
  <si>
    <t>Customer_171</t>
  </si>
  <si>
    <t>ORD30516</t>
  </si>
  <si>
    <t>C2375</t>
  </si>
  <si>
    <t>Customer_738</t>
  </si>
  <si>
    <t>ORD30517</t>
  </si>
  <si>
    <t>C1477</t>
  </si>
  <si>
    <t>Customer_315</t>
  </si>
  <si>
    <t>ORD30518</t>
  </si>
  <si>
    <t>Customer_155</t>
  </si>
  <si>
    <t>ORD30519</t>
  </si>
  <si>
    <t>C2734</t>
  </si>
  <si>
    <t>Customer_606</t>
  </si>
  <si>
    <t>ORD30520</t>
  </si>
  <si>
    <t>ORD30521</t>
  </si>
  <si>
    <t>C2687</t>
  </si>
  <si>
    <t>ORD30522</t>
  </si>
  <si>
    <t>C2013</t>
  </si>
  <si>
    <t>Customer_562</t>
  </si>
  <si>
    <t>ORD30523</t>
  </si>
  <si>
    <t>C2806</t>
  </si>
  <si>
    <t>ORD30524</t>
  </si>
  <si>
    <t>C1275</t>
  </si>
  <si>
    <t>ORD30525</t>
  </si>
  <si>
    <t>C2746</t>
  </si>
  <si>
    <t>Customer_735</t>
  </si>
  <si>
    <t>ORD30526</t>
  </si>
  <si>
    <t>C2849</t>
  </si>
  <si>
    <t>Customer_848</t>
  </si>
  <si>
    <t>ORD30527</t>
  </si>
  <si>
    <t>C2705</t>
  </si>
  <si>
    <t>ORD30528</t>
  </si>
  <si>
    <t>C1946</t>
  </si>
  <si>
    <t>Customer_404</t>
  </si>
  <si>
    <t>ORD30529</t>
  </si>
  <si>
    <t>C2692</t>
  </si>
  <si>
    <t>ORD30530</t>
  </si>
  <si>
    <t>C2874</t>
  </si>
  <si>
    <t>Customer_586</t>
  </si>
  <si>
    <t>ORD30531</t>
  </si>
  <si>
    <t>Customer_881</t>
  </si>
  <si>
    <t>ORD30532</t>
  </si>
  <si>
    <t>ORD30533</t>
  </si>
  <si>
    <t>C1235</t>
  </si>
  <si>
    <t>Customer_494</t>
  </si>
  <si>
    <t>ORD30534</t>
  </si>
  <si>
    <t>C1171</t>
  </si>
  <si>
    <t>Customer_101</t>
  </si>
  <si>
    <t>ORD30535</t>
  </si>
  <si>
    <t>Customer_255</t>
  </si>
  <si>
    <t>ORD30536</t>
  </si>
  <si>
    <t>C1026</t>
  </si>
  <si>
    <t>Customer_337</t>
  </si>
  <si>
    <t>ORD30537</t>
  </si>
  <si>
    <t>ORD30538</t>
  </si>
  <si>
    <t>Customer_434</t>
  </si>
  <si>
    <t>ORD30539</t>
  </si>
  <si>
    <t>C2757</t>
  </si>
  <si>
    <t>ORD30540</t>
  </si>
  <si>
    <t>Customer_732</t>
  </si>
  <si>
    <t>ORD30541</t>
  </si>
  <si>
    <t>Customer_554</t>
  </si>
  <si>
    <t>ORD30542</t>
  </si>
  <si>
    <t>C2989</t>
  </si>
  <si>
    <t>ORD30543</t>
  </si>
  <si>
    <t>C1363</t>
  </si>
  <si>
    <t>Customer_843</t>
  </si>
  <si>
    <t>ORD30544</t>
  </si>
  <si>
    <t>ORD30545</t>
  </si>
  <si>
    <t>Customer_971</t>
  </si>
  <si>
    <t>ORD30546</t>
  </si>
  <si>
    <t>C2215</t>
  </si>
  <si>
    <t>Customer_706</t>
  </si>
  <si>
    <t>ORD30547</t>
  </si>
  <si>
    <t>C2081</t>
  </si>
  <si>
    <t>Customer_962</t>
  </si>
  <si>
    <t>ORD30548</t>
  </si>
  <si>
    <t>C2487</t>
  </si>
  <si>
    <t>Customer_199</t>
  </si>
  <si>
    <t>ORD30549</t>
  </si>
  <si>
    <t>C2269</t>
  </si>
  <si>
    <t>ORD30550</t>
  </si>
  <si>
    <t>C2079</t>
  </si>
  <si>
    <t>ORD30551</t>
  </si>
  <si>
    <t>C2981</t>
  </si>
  <si>
    <t>ORD30552</t>
  </si>
  <si>
    <t>C2335</t>
  </si>
  <si>
    <t>Customer_902</t>
  </si>
  <si>
    <t>ORD30553</t>
  </si>
  <si>
    <t>C2618</t>
  </si>
  <si>
    <t>ORD30554</t>
  </si>
  <si>
    <t>C1017</t>
  </si>
  <si>
    <t>ORD30555</t>
  </si>
  <si>
    <t>C2004</t>
  </si>
  <si>
    <t>ORD30556</t>
  </si>
  <si>
    <t>Customer_305</t>
  </si>
  <si>
    <t>ORD30557</t>
  </si>
  <si>
    <t>C1586</t>
  </si>
  <si>
    <t>ORD30558</t>
  </si>
  <si>
    <t>C2622</t>
  </si>
  <si>
    <t>ORD30559</t>
  </si>
  <si>
    <t>Customer_279</t>
  </si>
  <si>
    <t>ORD30560</t>
  </si>
  <si>
    <t>C1999</t>
  </si>
  <si>
    <t>Customer_949</t>
  </si>
  <si>
    <t>ORD30561</t>
  </si>
  <si>
    <t>Customer_717</t>
  </si>
  <si>
    <t>ORD30562</t>
  </si>
  <si>
    <t>Customer_479</t>
  </si>
  <si>
    <t>ORD30563</t>
  </si>
  <si>
    <t>C2906</t>
  </si>
  <si>
    <t>Customer_399</t>
  </si>
  <si>
    <t>ORD30564</t>
  </si>
  <si>
    <t>C2572</t>
  </si>
  <si>
    <t>ORD30565</t>
  </si>
  <si>
    <t>C2003</t>
  </si>
  <si>
    <t>ORD30566</t>
  </si>
  <si>
    <t>C1460</t>
  </si>
  <si>
    <t>Customer_762</t>
  </si>
  <si>
    <t>ORD30567</t>
  </si>
  <si>
    <t>C1247</t>
  </si>
  <si>
    <t>ORD30568</t>
  </si>
  <si>
    <t>Customer_336</t>
  </si>
  <si>
    <t>ORD30569</t>
  </si>
  <si>
    <t>C2871</t>
  </si>
  <si>
    <t>ORD30570</t>
  </si>
  <si>
    <t>C2193</t>
  </si>
  <si>
    <t>Customer_340</t>
  </si>
  <si>
    <t>ORD30571</t>
  </si>
  <si>
    <t>C1029</t>
  </si>
  <si>
    <t>Customer_139</t>
  </si>
  <si>
    <t>ORD30572</t>
  </si>
  <si>
    <t>C1702</t>
  </si>
  <si>
    <t>ORD30573</t>
  </si>
  <si>
    <t>C2925</t>
  </si>
  <si>
    <t>ORD30574</t>
  </si>
  <si>
    <t>C2987</t>
  </si>
  <si>
    <t>Customer_159</t>
  </si>
  <si>
    <t>ORD30575</t>
  </si>
  <si>
    <t>C2474</t>
  </si>
  <si>
    <t>Customer_154</t>
  </si>
  <si>
    <t>ORD30576</t>
  </si>
  <si>
    <t>C2232</t>
  </si>
  <si>
    <t>ORD30577</t>
  </si>
  <si>
    <t>Customer_788</t>
  </si>
  <si>
    <t>ORD30578</t>
  </si>
  <si>
    <t>C1129</t>
  </si>
  <si>
    <t>ORD30579</t>
  </si>
  <si>
    <t>Customer_987</t>
  </si>
  <si>
    <t>ORD30580</t>
  </si>
  <si>
    <t>C1349</t>
  </si>
  <si>
    <t>Customer_992</t>
  </si>
  <si>
    <t>ORD30581</t>
  </si>
  <si>
    <t>C1988</t>
  </si>
  <si>
    <t>Customer_981</t>
  </si>
  <si>
    <t>ORD30582</t>
  </si>
  <si>
    <t>C2033</t>
  </si>
  <si>
    <t>ORD30583</t>
  </si>
  <si>
    <t>C1126</t>
  </si>
  <si>
    <t>Customer_980</t>
  </si>
  <si>
    <t>ORD30584</t>
  </si>
  <si>
    <t>C1992</t>
  </si>
  <si>
    <t>ORD30585</t>
  </si>
  <si>
    <t>C2875</t>
  </si>
  <si>
    <t>Customer_712</t>
  </si>
  <si>
    <t>ORD30586</t>
  </si>
  <si>
    <t>ORD30587</t>
  </si>
  <si>
    <t>C1694</t>
  </si>
  <si>
    <t>Customer_241</t>
  </si>
  <si>
    <t>ORD30588</t>
  </si>
  <si>
    <t>C2260</t>
  </si>
  <si>
    <t>Customer_290</t>
  </si>
  <si>
    <t>ORD30589</t>
  </si>
  <si>
    <t>C2332</t>
  </si>
  <si>
    <t>ORD30590</t>
  </si>
  <si>
    <t>Customer_617</t>
  </si>
  <si>
    <t>ORD30591</t>
  </si>
  <si>
    <t>C1807</t>
  </si>
  <si>
    <t>ORD30592</t>
  </si>
  <si>
    <t>C2444</t>
  </si>
  <si>
    <t>Customer_443</t>
  </si>
  <si>
    <t>ORD30593</t>
  </si>
  <si>
    <t>Customer_819</t>
  </si>
  <si>
    <t>ORD30594</t>
  </si>
  <si>
    <t>C1027</t>
  </si>
  <si>
    <t>ORD30595</t>
  </si>
  <si>
    <t>C1847</t>
  </si>
  <si>
    <t>Customer_438</t>
  </si>
  <si>
    <t>ORD30596</t>
  </si>
  <si>
    <t>C1407</t>
  </si>
  <si>
    <t>Customer_325</t>
  </si>
  <si>
    <t>ORD30597</t>
  </si>
  <si>
    <t>Customer_536</t>
  </si>
  <si>
    <t>ORD30598</t>
  </si>
  <si>
    <t>Customer_295</t>
  </si>
  <si>
    <t>ORD30599</t>
  </si>
  <si>
    <t>C2854</t>
  </si>
  <si>
    <t>Customer_202</t>
  </si>
  <si>
    <t>ORD30600</t>
  </si>
  <si>
    <t>C1972</t>
  </si>
  <si>
    <t>📝 Practice Questions — DB5_EcommerceSales</t>
  </si>
  <si>
    <t>Count total orders.</t>
  </si>
  <si>
    <t>Sum total Revenue.</t>
  </si>
  <si>
    <t>Sum total Gross_Profit.</t>
  </si>
  <si>
    <t>Average Margin_Pct.</t>
  </si>
  <si>
    <t>How many orders in the 'Electronics' category?</t>
  </si>
  <si>
    <t>Total Revenue for 'Fashion' category.</t>
  </si>
  <si>
    <t>Count returned orders.</t>
  </si>
  <si>
    <t>Find MAX Revenue for a single order.</t>
  </si>
  <si>
    <t>Find MIN Gross_Profit.</t>
  </si>
  <si>
    <t>How many orders from Mumbai?</t>
  </si>
  <si>
    <t>Sum COGS for all orders.</t>
  </si>
  <si>
    <t>Average Quantity ordered.</t>
  </si>
  <si>
    <t>Count orders via 'Mobile App' channel.</t>
  </si>
  <si>
    <t>Total Revenue for Maharashtra state.</t>
  </si>
  <si>
    <t>How many 'Same Day' shipments?</t>
  </si>
  <si>
    <t>Use UPPER() on Category in F2.</t>
  </si>
  <si>
    <t>Use LEN() on Product_Name in H2.</t>
  </si>
  <si>
    <t>Use TODAY() to find current date.</t>
  </si>
  <si>
    <t>Count orders with Discount_Pct = 0 (no discount).</t>
  </si>
  <si>
    <t>Count orders with Discount_Pct &gt;= 20.</t>
  </si>
  <si>
    <t>Total Revenue for Electronics AND Express shipping.</t>
  </si>
  <si>
    <t>Count returned orders in the Books category.</t>
  </si>
  <si>
    <t>VLOOKUP: find the Revenue for OrderID 'ORD30150'.</t>
  </si>
  <si>
    <t>XLOOKUP: find the Sales_Rep for OrderID 'ORD30300'.</t>
  </si>
  <si>
    <t>IF: if Margin_Pct&gt;40 show 'High Margin' else 'Low Margin'.</t>
  </si>
  <si>
    <t>AVERAGEIF: average Revenue per order for Sports category.</t>
  </si>
  <si>
    <t>SUMIFS: total Gross_Profit for Website channel AND Maharashtra.</t>
  </si>
  <si>
    <t>Sort by Gross_Profit largest to smallest.</t>
  </si>
  <si>
    <t>Filter to show only returned orders.</t>
  </si>
  <si>
    <t>Data → Filter → Return_Status → Returned</t>
  </si>
  <si>
    <t>SUMPRODUCT: sum of Revenue × (1 - Discount_Pct/100) — effective revenue.</t>
  </si>
  <si>
    <t>RANK: rank each order's Revenue (1 = highest).</t>
  </si>
  <si>
    <t>IFERROR: VLOOKUP 'ORD00000' → 'Order Not Found'.</t>
  </si>
  <si>
    <t>MAXIFS: highest Revenue per Category.</t>
  </si>
  <si>
    <t>COUNTIFS: count orders where Qty&gt;5 AND Discount_Pct&gt;=20.</t>
  </si>
  <si>
    <t>Conditional Formatting: Gross_Profit red if &lt;0, green if &gt;5000.</t>
  </si>
  <si>
    <t>TEXT: format Order_Date as 'Month YYYY'.</t>
  </si>
  <si>
    <t>DATEDIF: days between Order_Date and Ship_Date (fulfilment time).</t>
  </si>
  <si>
    <t>AVERAGEIFS: avg Margin_Pct for Home &amp; Kitchen AND Quantity&gt;3.</t>
  </si>
  <si>
    <t>CONCATENATE: Category + ' &gt; ' + Sub_Category.</t>
  </si>
  <si>
    <t>SUBTOTAL(9): sum Revenue of visible rows after filtering Website channel.</t>
  </si>
  <si>
    <t>Filter Channel=Website → =SUBTOTAL(9,M2:M601)</t>
  </si>
  <si>
    <t>Summary table: 5 Categories × (Revenue, Gross Profit, Avg Margin%, Return Count).</t>
  </si>
  <si>
    <t>5 categories × 4 metrics = 20 formulas using SUMIF, AVERAGEIF, COUNTIFS</t>
  </si>
  <si>
    <t>INDEX-MATCH: find Product_Name with the highest Gross_Profit.</t>
  </si>
  <si>
    <t>Nested IF: shipping performance: 1 day='Excellent', 2-3='Good', 4+='Poor'.</t>
  </si>
  <si>
    <t>PivotTable: Category (rows) × Channel (columns) → Revenue SUM.</t>
  </si>
  <si>
    <t>Insert PivotTable → Category rows, Channel columns, Revenue SUM</t>
  </si>
  <si>
    <t>Monthly Revenue trend: SUMPRODUCT for each month of 2023.</t>
  </si>
  <si>
    <t>Advanced Sort: State A-Z, then Revenue Z-A.</t>
  </si>
  <si>
    <t>Data → Sort → 2 levels: State A-Z, Revenue Z-A</t>
  </si>
  <si>
    <t>Return rate per category: returned orders / total orders per category.</t>
  </si>
  <si>
    <t>Running revenue cumulative total sorted by Order_Date.</t>
  </si>
  <si>
    <t>Sort by Q → =SUM(M$2:M2)  drag down</t>
  </si>
  <si>
    <t>SUMIFS with date: total Revenue for Q1 2023 (Jan-Mar).</t>
  </si>
  <si>
    <t>Find Sales_Rep with highest total Revenue using SUMIF + INDEX-MATCH.</t>
  </si>
  <si>
    <t>SUMIF per rep → MAX → INDEX-MATCH rep name</t>
  </si>
  <si>
    <t>Calculate discount impact: Revenue lost = Qty × Unit_Price × (Discount_Pct/100).</t>
  </si>
  <si>
    <t>Use HLOOKUP on transposed category table for category description.</t>
  </si>
  <si>
    <t>Transpose categories to row1, add descriptions row2, HLOOKUP(F2,range,2,0)</t>
  </si>
  <si>
    <t>Create bar chart: Gross_Profit by Sales_Rep.</t>
  </si>
  <si>
    <t>SUMIF summary → Insert Column Chart</t>
  </si>
  <si>
    <t>Data Validation: Ship_Mode dropdown with 4 valid values.</t>
  </si>
  <si>
    <t>Data → Validation → List → Standard,Express,Same Day,Economy</t>
  </si>
  <si>
    <t>Freeze row 1 and first 2 columns (OrderID, CustomerID).</t>
  </si>
  <si>
    <t>COUNTIFS: count orders from Delhi with Margin_Pct&gt;30.</t>
  </si>
  <si>
    <t>MINIFS: lowest Gross_Profit per Channel.</t>
  </si>
  <si>
    <t>Calculate effective discount amount: Unit_Price × Qty × Discount_Pct/100.</t>
  </si>
  <si>
    <t>Remove Duplicates on CustomerID to find unique customers.</t>
  </si>
  <si>
    <t>Copy C column → Remove Duplicates → count unique</t>
  </si>
  <si>
    <t>Use NETWORKDAYS: fulfilment time in working days.</t>
  </si>
  <si>
    <t>Build complete E-commerce KPI Dashboard: GMV, Net Revenue, Total Profit, Margin%, Return Rate, Avg Order Value, Top Category, Top Rep.</t>
  </si>
  <si>
    <t>8 metric cells using SUM, AVERAGE, COUNTIF, SUMIF — all formula driven</t>
  </si>
  <si>
    <t>Weighted average Margin_Pct weighted by Revenue.</t>
  </si>
  <si>
    <t>Cohort-style: compare Q1 vs Q2 2023 Revenue and Gross_Profit change.</t>
  </si>
  <si>
    <t>4 SUMIFS (Q1 rev, Q2 rev, Q1 GP, Q2 GP) → % change formulas</t>
  </si>
  <si>
    <t>Simulate a 5% price increase: what would total Revenue be?</t>
  </si>
  <si>
    <t>Create a dynamic category dashboard: type category → show revenue, profit, return%, top city, top product.</t>
  </si>
  <si>
    <t>5+ SUMIFS/COUNTIFS/MAXIFS/AVERAGEIFS all referencing one input cell</t>
  </si>
  <si>
    <t>Use XLOOKUP with wildcard: find first order for any product containing 'Laptop'.</t>
  </si>
  <si>
    <t>Identify top 3 revenue-generating cities using LARGE + INDEX-MATCH.</t>
  </si>
  <si>
    <t>SUMIF per city → LARGE(city_sum_range,1/2/3) → match city name</t>
  </si>
  <si>
    <t>Conditional formatting: highlight entire row orange if Return_Status='Returned'.</t>
  </si>
  <si>
    <t>Select A2:V601 → CF → Formula → =$T2="Returned" → Orange fill</t>
  </si>
  <si>
    <t>INDIRECT: if a cell says 'Electronics', pull total revenue from the formula dynamically.</t>
  </si>
  <si>
    <t>Build Sales Rep leaderboard: rank reps by Revenue, show Rank, Name, Revenue, Profit, Win%.</t>
  </si>
  <si>
    <t>SUMIF per rep → RANK → display in a formatted 10-row table</t>
  </si>
  <si>
    <t>Calculate ABC analysis: A=top 20% revenue orders, B=20-50%, C=bottom 50%.</t>
  </si>
  <si>
    <t>Use cumulative RANK approach or PERCENTRANK function on Revenue column</t>
  </si>
  <si>
    <t>Find best and worst performing Sub_Category by average Margin_Pct.</t>
  </si>
  <si>
    <t>AVERAGEIF per sub-category → MAX and MIN to identify best/worst</t>
  </si>
  <si>
    <t>Use CHOOSE: switch dashboard view between Revenue/Gross Profit/Margin based on input 1,2,3.</t>
  </si>
  <si>
    <t>Create a product profitability matrix: rows=Category, columns=Sub_Category, values=avg Margin%.</t>
  </si>
  <si>
    <t>PivotTable: Category rows, Sub_Category columns, Margin_Pct AVERAGE values</t>
  </si>
  <si>
    <t>Simulate discount elasticity: total revenue lost if Discount_Pct increases by 5 percentage points.</t>
  </si>
  <si>
    <t>Use MATCH to find the row of the single highest revenue order.</t>
  </si>
  <si>
    <t>Protect the Revenue, COGS, Gross_Profit, Margin_Pct columns. Keep input columns editable.</t>
  </si>
  <si>
    <t>Ctrl+A → Uncheck Locked → Select M:P → Check Locked → Protect Sheet</t>
  </si>
  <si>
    <t>Build SUMPRODUCT formula counting orders where Revenue&gt;10000 AND Margin%&gt;35.</t>
  </si>
  <si>
    <t>Create sparklines for monthly revenue trend (Jan-Dec) in a summary area.</t>
  </si>
  <si>
    <t>Build monthly SUMPRODUCT table (12 values) → Insert Sparklines → Line type</t>
  </si>
  <si>
    <t>Final: Build complete print-ready Sales Report: headers repeat, print area A-P, portrait, all KPIs on page 1.</t>
  </si>
  <si>
    <t>Page Layout → Print Titles → Print Area → Scale to Fit → arrange KPIs at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</si>
</sst>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4"/>
      <color rgb="FFFFFFFF"/>
      <name val="Calibri"/>
    </font>
    <font>
      <i/>
      <sz val="9"/>
      <color rgb="FF444444"/>
      <name val="Calibri"/>
    </font>
    <font>
      <b/>
      <sz val="10"/>
      <color rgb="FF000000"/>
      <name val="Calibri"/>
    </font>
    <font>
      <i/>
      <sz val="9"/>
      <color rgb="FF595959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FF7D4E1D"/>
      </patternFill>
    </fill>
    <fill>
      <patternFill patternType="solid">
        <fgColor rgb="FF843C0C"/>
      </patternFill>
    </fill>
    <fill>
      <patternFill patternType="solid">
        <fgColor rgb="FF632523"/>
      </patternFill>
    </fill>
    <fill>
      <patternFill patternType="solid">
        <fgColor rgb="FFFFF0F5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2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2" fontId="3" fillId="0" borderId="2" xfId="0" applyNumberFormat="1" applyFont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/>
    </xf>
    <xf numFmtId="4" fontId="3" fillId="13" borderId="2" xfId="0" applyNumberFormat="1" applyFont="1" applyFill="1" applyBorder="1" applyAlignment="1">
      <alignment horizontal="center" vertical="center"/>
    </xf>
    <xf numFmtId="2" fontId="3" fillId="13" borderId="2" xfId="0" applyNumberFormat="1" applyFont="1" applyFill="1" applyBorder="1" applyAlignment="1">
      <alignment horizontal="center" vertical="center"/>
    </xf>
    <xf numFmtId="164" fontId="3" fillId="13" borderId="2" xfId="0" applyNumberFormat="1" applyFont="1" applyFill="1" applyBorder="1" applyAlignment="1">
      <alignment horizontal="center" vertical="center"/>
    </xf>
    <xf numFmtId="0" fontId="0" fillId="0" borderId="0" xfId="0"/>
    <xf numFmtId="0" fontId="1" fillId="12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5" fillId="0" borderId="0" xfId="0" applyFont="1" applyAlignment="1">
      <alignment horizontal="center"/>
    </xf>
    <xf numFmtId="0" fontId="1" fillId="10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" fillId="11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601"/>
  <sheetViews>
    <sheetView tabSelected="1" workbookViewId="0">
      <pane ySplit="1" topLeftCell="A324" activePane="bottomLeft" state="frozen"/>
      <selection pane="bottomLeft"/>
    </sheetView>
  </sheetViews>
  <sheetFormatPr defaultRowHeight="14.4" x14ac:dyDescent="0.3"/>
  <cols>
    <col min="1" max="2" width="10" customWidth="1"/>
    <col min="3" max="3" width="18" customWidth="1"/>
    <col min="4" max="4" width="14" customWidth="1"/>
    <col min="5" max="5" width="12" customWidth="1"/>
    <col min="6" max="7" width="14" customWidth="1"/>
    <col min="8" max="8" width="22" customWidth="1"/>
    <col min="9" max="9" width="8" customWidth="1"/>
    <col min="10" max="10" width="10" customWidth="1"/>
    <col min="11" max="13" width="11" customWidth="1"/>
    <col min="14" max="14" width="10" customWidth="1"/>
    <col min="15" max="15" width="12" customWidth="1"/>
    <col min="16" max="16" width="11" customWidth="1"/>
    <col min="17" max="19" width="12" customWidth="1"/>
    <col min="20" max="20" width="13" customWidth="1"/>
    <col min="21" max="21" width="11" customWidth="1"/>
    <col min="22" max="22" width="14" customWidth="1"/>
  </cols>
  <sheetData>
    <row r="1" spans="1:22" ht="28.05" customHeight="1" x14ac:dyDescent="0.3">
      <c r="A1" s="2" t="s">
        <v>29</v>
      </c>
      <c r="B1" s="2" t="s">
        <v>1</v>
      </c>
      <c r="C1" s="2" t="s">
        <v>30</v>
      </c>
      <c r="D1" s="2" t="s">
        <v>2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</row>
    <row r="2" spans="1:22" ht="18" customHeight="1" x14ac:dyDescent="0.3">
      <c r="A2" s="25" t="s">
        <v>49</v>
      </c>
      <c r="B2" s="25" t="s">
        <v>50</v>
      </c>
      <c r="C2" s="26" t="s">
        <v>51</v>
      </c>
      <c r="D2" s="26" t="s">
        <v>3</v>
      </c>
      <c r="E2" s="26" t="s">
        <v>3</v>
      </c>
      <c r="F2" s="26" t="s">
        <v>52</v>
      </c>
      <c r="G2" s="26" t="s">
        <v>53</v>
      </c>
      <c r="H2" s="26" t="s">
        <v>54</v>
      </c>
      <c r="I2" s="25">
        <v>5</v>
      </c>
      <c r="J2" s="27">
        <v>24000.46</v>
      </c>
      <c r="K2" s="27">
        <v>20</v>
      </c>
      <c r="L2" s="27">
        <v>19200.37</v>
      </c>
      <c r="M2" s="27">
        <v>96001.85</v>
      </c>
      <c r="N2" s="27">
        <v>69375.600000000006</v>
      </c>
      <c r="O2" s="27">
        <v>26626.25</v>
      </c>
      <c r="P2" s="28">
        <v>27.74</v>
      </c>
      <c r="Q2" s="29">
        <v>45117</v>
      </c>
      <c r="R2" s="29">
        <v>45127</v>
      </c>
      <c r="S2" s="26" t="s">
        <v>55</v>
      </c>
      <c r="T2" s="26" t="s">
        <v>56</v>
      </c>
      <c r="U2" s="26" t="s">
        <v>57</v>
      </c>
      <c r="V2" s="26" t="s">
        <v>58</v>
      </c>
    </row>
    <row r="3" spans="1:22" ht="18" customHeight="1" x14ac:dyDescent="0.3">
      <c r="A3" s="3" t="s">
        <v>59</v>
      </c>
      <c r="B3" s="3" t="s">
        <v>60</v>
      </c>
      <c r="C3" s="4" t="s">
        <v>61</v>
      </c>
      <c r="D3" s="4" t="s">
        <v>4</v>
      </c>
      <c r="E3" s="4" t="s">
        <v>62</v>
      </c>
      <c r="F3" s="4" t="s">
        <v>63</v>
      </c>
      <c r="G3" s="4" t="s">
        <v>64</v>
      </c>
      <c r="H3" s="4" t="s">
        <v>65</v>
      </c>
      <c r="I3" s="3">
        <v>8</v>
      </c>
      <c r="J3" s="5">
        <v>22318.18</v>
      </c>
      <c r="K3" s="5">
        <v>25</v>
      </c>
      <c r="L3" s="5">
        <v>16738.64</v>
      </c>
      <c r="M3" s="5">
        <v>133909.12</v>
      </c>
      <c r="N3" s="5">
        <v>85793.69</v>
      </c>
      <c r="O3" s="5">
        <v>48115.43</v>
      </c>
      <c r="P3" s="24">
        <v>35.93</v>
      </c>
      <c r="Q3" s="6">
        <v>45235</v>
      </c>
      <c r="R3" s="6">
        <v>45242</v>
      </c>
      <c r="S3" s="4" t="s">
        <v>66</v>
      </c>
      <c r="T3" s="4" t="s">
        <v>56</v>
      </c>
      <c r="U3" s="4" t="s">
        <v>67</v>
      </c>
      <c r="V3" s="4" t="s">
        <v>68</v>
      </c>
    </row>
    <row r="4" spans="1:22" ht="18" customHeight="1" x14ac:dyDescent="0.3">
      <c r="A4" s="25" t="s">
        <v>69</v>
      </c>
      <c r="B4" s="25" t="s">
        <v>70</v>
      </c>
      <c r="C4" s="26" t="s">
        <v>71</v>
      </c>
      <c r="D4" s="26" t="s">
        <v>5</v>
      </c>
      <c r="E4" s="26" t="s">
        <v>72</v>
      </c>
      <c r="F4" s="26" t="s">
        <v>73</v>
      </c>
      <c r="G4" s="26" t="s">
        <v>74</v>
      </c>
      <c r="H4" s="26" t="s">
        <v>75</v>
      </c>
      <c r="I4" s="25">
        <v>7</v>
      </c>
      <c r="J4" s="27">
        <v>40780.44</v>
      </c>
      <c r="K4" s="27">
        <v>10</v>
      </c>
      <c r="L4" s="27">
        <v>36702.400000000001</v>
      </c>
      <c r="M4" s="27">
        <v>256916.8</v>
      </c>
      <c r="N4" s="27">
        <v>187137.01</v>
      </c>
      <c r="O4" s="27">
        <v>69779.789999999994</v>
      </c>
      <c r="P4" s="28">
        <v>27.16</v>
      </c>
      <c r="Q4" s="29">
        <v>45495</v>
      </c>
      <c r="R4" s="29">
        <v>45499</v>
      </c>
      <c r="S4" s="26" t="s">
        <v>76</v>
      </c>
      <c r="T4" s="26" t="s">
        <v>56</v>
      </c>
      <c r="U4" s="26" t="s">
        <v>77</v>
      </c>
      <c r="V4" s="26" t="s">
        <v>78</v>
      </c>
    </row>
    <row r="5" spans="1:22" ht="18" customHeight="1" x14ac:dyDescent="0.3">
      <c r="A5" s="3" t="s">
        <v>79</v>
      </c>
      <c r="B5" s="3" t="s">
        <v>80</v>
      </c>
      <c r="C5" s="4" t="s">
        <v>81</v>
      </c>
      <c r="D5" s="4" t="s">
        <v>6</v>
      </c>
      <c r="E5" s="4" t="s">
        <v>82</v>
      </c>
      <c r="F5" s="4" t="s">
        <v>83</v>
      </c>
      <c r="G5" s="4" t="s">
        <v>84</v>
      </c>
      <c r="H5" s="4" t="s">
        <v>85</v>
      </c>
      <c r="I5" s="3">
        <v>4</v>
      </c>
      <c r="J5" s="5">
        <v>49526.48</v>
      </c>
      <c r="K5" s="5">
        <v>0</v>
      </c>
      <c r="L5" s="5">
        <v>49526.48</v>
      </c>
      <c r="M5" s="5">
        <v>198105.92</v>
      </c>
      <c r="N5" s="5">
        <v>133710.75</v>
      </c>
      <c r="O5" s="5">
        <v>64395.17</v>
      </c>
      <c r="P5" s="24">
        <v>32.51</v>
      </c>
      <c r="Q5" s="6">
        <v>45053</v>
      </c>
      <c r="R5" s="6">
        <v>45059</v>
      </c>
      <c r="S5" s="4" t="s">
        <v>86</v>
      </c>
      <c r="T5" s="4" t="s">
        <v>56</v>
      </c>
      <c r="U5" s="4" t="s">
        <v>87</v>
      </c>
      <c r="V5" s="4" t="s">
        <v>88</v>
      </c>
    </row>
    <row r="6" spans="1:22" ht="18" customHeight="1" x14ac:dyDescent="0.3">
      <c r="A6" s="25" t="s">
        <v>89</v>
      </c>
      <c r="B6" s="25" t="s">
        <v>90</v>
      </c>
      <c r="C6" s="26" t="s">
        <v>91</v>
      </c>
      <c r="D6" s="26" t="s">
        <v>7</v>
      </c>
      <c r="E6" s="26" t="s">
        <v>92</v>
      </c>
      <c r="F6" s="26" t="s">
        <v>93</v>
      </c>
      <c r="G6" s="26" t="s">
        <v>94</v>
      </c>
      <c r="H6" s="26" t="s">
        <v>95</v>
      </c>
      <c r="I6" s="25">
        <v>1</v>
      </c>
      <c r="J6" s="27">
        <v>17758.22</v>
      </c>
      <c r="K6" s="27">
        <v>25</v>
      </c>
      <c r="L6" s="27">
        <v>13318.67</v>
      </c>
      <c r="M6" s="27">
        <v>13318.67</v>
      </c>
      <c r="N6" s="27">
        <v>7209.43</v>
      </c>
      <c r="O6" s="27">
        <v>6109.24</v>
      </c>
      <c r="P6" s="28">
        <v>45.87</v>
      </c>
      <c r="Q6" s="29">
        <v>45330</v>
      </c>
      <c r="R6" s="29">
        <v>45337</v>
      </c>
      <c r="S6" s="26" t="s">
        <v>55</v>
      </c>
      <c r="T6" s="26" t="s">
        <v>56</v>
      </c>
      <c r="U6" s="26" t="s">
        <v>57</v>
      </c>
      <c r="V6" s="26" t="s">
        <v>96</v>
      </c>
    </row>
    <row r="7" spans="1:22" ht="18" customHeight="1" x14ac:dyDescent="0.3">
      <c r="A7" s="3" t="s">
        <v>97</v>
      </c>
      <c r="B7" s="3" t="s">
        <v>98</v>
      </c>
      <c r="C7" s="4" t="s">
        <v>99</v>
      </c>
      <c r="D7" s="4" t="s">
        <v>8</v>
      </c>
      <c r="E7" s="4" t="s">
        <v>100</v>
      </c>
      <c r="F7" s="4" t="s">
        <v>52</v>
      </c>
      <c r="G7" s="4" t="s">
        <v>53</v>
      </c>
      <c r="H7" s="4" t="s">
        <v>101</v>
      </c>
      <c r="I7" s="3">
        <v>9</v>
      </c>
      <c r="J7" s="5">
        <v>42617.9</v>
      </c>
      <c r="K7" s="5">
        <v>0</v>
      </c>
      <c r="L7" s="5">
        <v>42617.9</v>
      </c>
      <c r="M7" s="5">
        <v>383561.1</v>
      </c>
      <c r="N7" s="5">
        <v>189741.88</v>
      </c>
      <c r="O7" s="5">
        <v>193819.22</v>
      </c>
      <c r="P7" s="24">
        <v>50.53</v>
      </c>
      <c r="Q7" s="6">
        <v>45049</v>
      </c>
      <c r="R7" s="6">
        <v>45055</v>
      </c>
      <c r="S7" s="4" t="s">
        <v>66</v>
      </c>
      <c r="T7" s="4" t="s">
        <v>102</v>
      </c>
      <c r="U7" s="4" t="s">
        <v>67</v>
      </c>
      <c r="V7" s="4" t="s">
        <v>103</v>
      </c>
    </row>
    <row r="8" spans="1:22" ht="18" customHeight="1" x14ac:dyDescent="0.3">
      <c r="A8" s="25" t="s">
        <v>104</v>
      </c>
      <c r="B8" s="25" t="s">
        <v>105</v>
      </c>
      <c r="C8" s="26" t="s">
        <v>106</v>
      </c>
      <c r="D8" s="26" t="s">
        <v>23</v>
      </c>
      <c r="E8" s="26" t="s">
        <v>107</v>
      </c>
      <c r="F8" s="26" t="s">
        <v>63</v>
      </c>
      <c r="G8" s="26" t="s">
        <v>64</v>
      </c>
      <c r="H8" s="26" t="s">
        <v>108</v>
      </c>
      <c r="I8" s="25">
        <v>4</v>
      </c>
      <c r="J8" s="27">
        <v>33871.65</v>
      </c>
      <c r="K8" s="27">
        <v>15</v>
      </c>
      <c r="L8" s="27">
        <v>28790.9</v>
      </c>
      <c r="M8" s="27">
        <v>115163.6</v>
      </c>
      <c r="N8" s="27">
        <v>67640.17</v>
      </c>
      <c r="O8" s="27">
        <v>47523.43</v>
      </c>
      <c r="P8" s="28">
        <v>41.27</v>
      </c>
      <c r="Q8" s="29">
        <v>45411</v>
      </c>
      <c r="R8" s="29">
        <v>45417</v>
      </c>
      <c r="S8" s="26" t="s">
        <v>76</v>
      </c>
      <c r="T8" s="26" t="s">
        <v>56</v>
      </c>
      <c r="U8" s="26" t="s">
        <v>77</v>
      </c>
      <c r="V8" s="26" t="s">
        <v>109</v>
      </c>
    </row>
    <row r="9" spans="1:22" ht="18" customHeight="1" x14ac:dyDescent="0.3">
      <c r="A9" s="3" t="s">
        <v>110</v>
      </c>
      <c r="B9" s="3" t="s">
        <v>111</v>
      </c>
      <c r="C9" s="4" t="s">
        <v>112</v>
      </c>
      <c r="D9" s="4" t="s">
        <v>24</v>
      </c>
      <c r="E9" s="4" t="s">
        <v>113</v>
      </c>
      <c r="F9" s="4" t="s">
        <v>73</v>
      </c>
      <c r="G9" s="4" t="s">
        <v>74</v>
      </c>
      <c r="H9" s="4" t="s">
        <v>114</v>
      </c>
      <c r="I9" s="3">
        <v>8</v>
      </c>
      <c r="J9" s="5">
        <v>3604.31</v>
      </c>
      <c r="K9" s="5">
        <v>15</v>
      </c>
      <c r="L9" s="5">
        <v>3063.66</v>
      </c>
      <c r="M9" s="5">
        <v>24509.279999999999</v>
      </c>
      <c r="N9" s="5">
        <v>13821.54</v>
      </c>
      <c r="O9" s="5">
        <v>10687.74</v>
      </c>
      <c r="P9" s="24">
        <v>43.61</v>
      </c>
      <c r="Q9" s="6">
        <v>45297</v>
      </c>
      <c r="R9" s="6">
        <v>45299</v>
      </c>
      <c r="S9" s="4" t="s">
        <v>86</v>
      </c>
      <c r="T9" s="4" t="s">
        <v>56</v>
      </c>
      <c r="U9" s="4" t="s">
        <v>87</v>
      </c>
      <c r="V9" s="4" t="s">
        <v>115</v>
      </c>
    </row>
    <row r="10" spans="1:22" ht="18" customHeight="1" x14ac:dyDescent="0.3">
      <c r="A10" s="25" t="s">
        <v>116</v>
      </c>
      <c r="B10" s="25" t="s">
        <v>117</v>
      </c>
      <c r="C10" s="26" t="s">
        <v>118</v>
      </c>
      <c r="D10" s="26" t="s">
        <v>25</v>
      </c>
      <c r="E10" s="26" t="s">
        <v>107</v>
      </c>
      <c r="F10" s="26" t="s">
        <v>83</v>
      </c>
      <c r="G10" s="26" t="s">
        <v>84</v>
      </c>
      <c r="H10" s="26" t="s">
        <v>119</v>
      </c>
      <c r="I10" s="25">
        <v>8</v>
      </c>
      <c r="J10" s="27">
        <v>36179.08</v>
      </c>
      <c r="K10" s="27">
        <v>30</v>
      </c>
      <c r="L10" s="27">
        <v>25325.360000000001</v>
      </c>
      <c r="M10" s="27">
        <v>202602.88</v>
      </c>
      <c r="N10" s="27">
        <v>145199.46</v>
      </c>
      <c r="O10" s="27">
        <v>57403.42</v>
      </c>
      <c r="P10" s="28">
        <v>28.33</v>
      </c>
      <c r="Q10" s="29">
        <v>45094</v>
      </c>
      <c r="R10" s="29">
        <v>45102</v>
      </c>
      <c r="S10" s="26" t="s">
        <v>55</v>
      </c>
      <c r="T10" s="26" t="s">
        <v>56</v>
      </c>
      <c r="U10" s="26" t="s">
        <v>57</v>
      </c>
      <c r="V10" s="26" t="s">
        <v>120</v>
      </c>
    </row>
    <row r="11" spans="1:22" ht="18" customHeight="1" x14ac:dyDescent="0.3">
      <c r="A11" s="3" t="s">
        <v>121</v>
      </c>
      <c r="B11" s="3" t="s">
        <v>122</v>
      </c>
      <c r="C11" s="4" t="s">
        <v>123</v>
      </c>
      <c r="D11" s="4" t="s">
        <v>9</v>
      </c>
      <c r="E11" s="4" t="s">
        <v>62</v>
      </c>
      <c r="F11" s="4" t="s">
        <v>93</v>
      </c>
      <c r="G11" s="4" t="s">
        <v>94</v>
      </c>
      <c r="H11" s="4" t="s">
        <v>124</v>
      </c>
      <c r="I11" s="3">
        <v>10</v>
      </c>
      <c r="J11" s="5">
        <v>46519.55</v>
      </c>
      <c r="K11" s="5">
        <v>10</v>
      </c>
      <c r="L11" s="5">
        <v>41867.599999999999</v>
      </c>
      <c r="M11" s="5">
        <v>418676</v>
      </c>
      <c r="N11" s="5">
        <v>246519.24</v>
      </c>
      <c r="O11" s="5">
        <v>172156.76</v>
      </c>
      <c r="P11" s="24">
        <v>41.12</v>
      </c>
      <c r="Q11" s="6">
        <v>45359</v>
      </c>
      <c r="R11" s="6">
        <v>45368</v>
      </c>
      <c r="S11" s="4" t="s">
        <v>66</v>
      </c>
      <c r="T11" s="4" t="s">
        <v>56</v>
      </c>
      <c r="U11" s="4" t="s">
        <v>67</v>
      </c>
      <c r="V11" s="4" t="s">
        <v>125</v>
      </c>
    </row>
    <row r="12" spans="1:22" ht="18" customHeight="1" x14ac:dyDescent="0.3">
      <c r="A12" s="25" t="s">
        <v>126</v>
      </c>
      <c r="B12" s="25" t="s">
        <v>127</v>
      </c>
      <c r="C12" s="26" t="s">
        <v>128</v>
      </c>
      <c r="D12" s="26" t="s">
        <v>3</v>
      </c>
      <c r="E12" s="26" t="s">
        <v>3</v>
      </c>
      <c r="F12" s="26" t="s">
        <v>52</v>
      </c>
      <c r="G12" s="26" t="s">
        <v>53</v>
      </c>
      <c r="H12" s="26" t="s">
        <v>129</v>
      </c>
      <c r="I12" s="25">
        <v>8</v>
      </c>
      <c r="J12" s="27">
        <v>19452.23</v>
      </c>
      <c r="K12" s="27">
        <v>30</v>
      </c>
      <c r="L12" s="27">
        <v>13616.56</v>
      </c>
      <c r="M12" s="27">
        <v>108932.48</v>
      </c>
      <c r="N12" s="27">
        <v>61997.04</v>
      </c>
      <c r="O12" s="27">
        <v>46935.44</v>
      </c>
      <c r="P12" s="28">
        <v>43.09</v>
      </c>
      <c r="Q12" s="29">
        <v>45259</v>
      </c>
      <c r="R12" s="29">
        <v>45262</v>
      </c>
      <c r="S12" s="26" t="s">
        <v>76</v>
      </c>
      <c r="T12" s="26" t="s">
        <v>56</v>
      </c>
      <c r="U12" s="26" t="s">
        <v>77</v>
      </c>
      <c r="V12" s="26" t="s">
        <v>58</v>
      </c>
    </row>
    <row r="13" spans="1:22" ht="18" customHeight="1" x14ac:dyDescent="0.3">
      <c r="A13" s="3" t="s">
        <v>130</v>
      </c>
      <c r="B13" s="3" t="s">
        <v>131</v>
      </c>
      <c r="C13" s="4" t="s">
        <v>132</v>
      </c>
      <c r="D13" s="4" t="s">
        <v>4</v>
      </c>
      <c r="E13" s="4" t="s">
        <v>62</v>
      </c>
      <c r="F13" s="4" t="s">
        <v>63</v>
      </c>
      <c r="G13" s="4" t="s">
        <v>64</v>
      </c>
      <c r="H13" s="4" t="s">
        <v>133</v>
      </c>
      <c r="I13" s="3">
        <v>10</v>
      </c>
      <c r="J13" s="5">
        <v>47622.74</v>
      </c>
      <c r="K13" s="5">
        <v>20</v>
      </c>
      <c r="L13" s="5">
        <v>38098.19</v>
      </c>
      <c r="M13" s="5">
        <v>380981.9</v>
      </c>
      <c r="N13" s="5">
        <v>191155.92</v>
      </c>
      <c r="O13" s="5">
        <v>189825.98</v>
      </c>
      <c r="P13" s="24">
        <v>49.83</v>
      </c>
      <c r="Q13" s="6">
        <v>45289</v>
      </c>
      <c r="R13" s="6">
        <v>45296</v>
      </c>
      <c r="S13" s="4" t="s">
        <v>86</v>
      </c>
      <c r="T13" s="4" t="s">
        <v>56</v>
      </c>
      <c r="U13" s="4" t="s">
        <v>87</v>
      </c>
      <c r="V13" s="4" t="s">
        <v>68</v>
      </c>
    </row>
    <row r="14" spans="1:22" ht="18" customHeight="1" x14ac:dyDescent="0.3">
      <c r="A14" s="25" t="s">
        <v>134</v>
      </c>
      <c r="B14" s="25" t="s">
        <v>135</v>
      </c>
      <c r="C14" s="26" t="s">
        <v>136</v>
      </c>
      <c r="D14" s="26" t="s">
        <v>5</v>
      </c>
      <c r="E14" s="26" t="s">
        <v>72</v>
      </c>
      <c r="F14" s="26" t="s">
        <v>73</v>
      </c>
      <c r="G14" s="26" t="s">
        <v>74</v>
      </c>
      <c r="H14" s="26" t="s">
        <v>137</v>
      </c>
      <c r="I14" s="25">
        <v>10</v>
      </c>
      <c r="J14" s="27">
        <v>32880.089999999997</v>
      </c>
      <c r="K14" s="27">
        <v>0</v>
      </c>
      <c r="L14" s="27">
        <v>32880.089999999997</v>
      </c>
      <c r="M14" s="27">
        <v>328800.90000000002</v>
      </c>
      <c r="N14" s="27">
        <v>231830.67</v>
      </c>
      <c r="O14" s="27">
        <v>96970.23</v>
      </c>
      <c r="P14" s="28">
        <v>29.49</v>
      </c>
      <c r="Q14" s="29">
        <v>45567</v>
      </c>
      <c r="R14" s="29">
        <v>45568</v>
      </c>
      <c r="S14" s="26" t="s">
        <v>55</v>
      </c>
      <c r="T14" s="26" t="s">
        <v>56</v>
      </c>
      <c r="U14" s="26" t="s">
        <v>57</v>
      </c>
      <c r="V14" s="26" t="s">
        <v>78</v>
      </c>
    </row>
    <row r="15" spans="1:22" ht="18" customHeight="1" x14ac:dyDescent="0.3">
      <c r="A15" s="3" t="s">
        <v>138</v>
      </c>
      <c r="B15" s="3" t="s">
        <v>139</v>
      </c>
      <c r="C15" s="4" t="s">
        <v>140</v>
      </c>
      <c r="D15" s="4" t="s">
        <v>6</v>
      </c>
      <c r="E15" s="4" t="s">
        <v>82</v>
      </c>
      <c r="F15" s="4" t="s">
        <v>83</v>
      </c>
      <c r="G15" s="4" t="s">
        <v>84</v>
      </c>
      <c r="H15" s="4" t="s">
        <v>141</v>
      </c>
      <c r="I15" s="3">
        <v>10</v>
      </c>
      <c r="J15" s="5">
        <v>4001.48</v>
      </c>
      <c r="K15" s="5">
        <v>0</v>
      </c>
      <c r="L15" s="5">
        <v>4001.48</v>
      </c>
      <c r="M15" s="5">
        <v>40014.800000000003</v>
      </c>
      <c r="N15" s="5">
        <v>20391.09</v>
      </c>
      <c r="O15" s="5">
        <v>19623.71</v>
      </c>
      <c r="P15" s="24">
        <v>49.04</v>
      </c>
      <c r="Q15" s="6">
        <v>45120</v>
      </c>
      <c r="R15" s="6">
        <v>45124</v>
      </c>
      <c r="S15" s="4" t="s">
        <v>66</v>
      </c>
      <c r="T15" s="4" t="s">
        <v>56</v>
      </c>
      <c r="U15" s="4" t="s">
        <v>67</v>
      </c>
      <c r="V15" s="4" t="s">
        <v>88</v>
      </c>
    </row>
    <row r="16" spans="1:22" ht="18" customHeight="1" x14ac:dyDescent="0.3">
      <c r="A16" s="25" t="s">
        <v>142</v>
      </c>
      <c r="B16" s="25" t="s">
        <v>143</v>
      </c>
      <c r="C16" s="26" t="s">
        <v>144</v>
      </c>
      <c r="D16" s="26" t="s">
        <v>7</v>
      </c>
      <c r="E16" s="26" t="s">
        <v>92</v>
      </c>
      <c r="F16" s="26" t="s">
        <v>93</v>
      </c>
      <c r="G16" s="26" t="s">
        <v>94</v>
      </c>
      <c r="H16" s="26" t="s">
        <v>145</v>
      </c>
      <c r="I16" s="25">
        <v>10</v>
      </c>
      <c r="J16" s="27">
        <v>21795.17</v>
      </c>
      <c r="K16" s="27">
        <v>20</v>
      </c>
      <c r="L16" s="27">
        <v>17436.14</v>
      </c>
      <c r="M16" s="27">
        <v>174361.4</v>
      </c>
      <c r="N16" s="27">
        <v>114020.08</v>
      </c>
      <c r="O16" s="27">
        <v>60341.32</v>
      </c>
      <c r="P16" s="28">
        <v>34.61</v>
      </c>
      <c r="Q16" s="29">
        <v>44933</v>
      </c>
      <c r="R16" s="29">
        <v>44936</v>
      </c>
      <c r="S16" s="26" t="s">
        <v>76</v>
      </c>
      <c r="T16" s="26" t="s">
        <v>56</v>
      </c>
      <c r="U16" s="26" t="s">
        <v>77</v>
      </c>
      <c r="V16" s="26" t="s">
        <v>96</v>
      </c>
    </row>
    <row r="17" spans="1:22" ht="18" customHeight="1" x14ac:dyDescent="0.3">
      <c r="A17" s="3" t="s">
        <v>146</v>
      </c>
      <c r="B17" s="3" t="s">
        <v>147</v>
      </c>
      <c r="C17" s="4" t="s">
        <v>148</v>
      </c>
      <c r="D17" s="4" t="s">
        <v>8</v>
      </c>
      <c r="E17" s="4" t="s">
        <v>100</v>
      </c>
      <c r="F17" s="4" t="s">
        <v>52</v>
      </c>
      <c r="G17" s="4" t="s">
        <v>53</v>
      </c>
      <c r="H17" s="4" t="s">
        <v>149</v>
      </c>
      <c r="I17" s="3">
        <v>8</v>
      </c>
      <c r="J17" s="5">
        <v>2080.3000000000002</v>
      </c>
      <c r="K17" s="5">
        <v>0</v>
      </c>
      <c r="L17" s="5">
        <v>2080.3000000000002</v>
      </c>
      <c r="M17" s="5">
        <v>16642.400000000001</v>
      </c>
      <c r="N17" s="5">
        <v>10425.469999999999</v>
      </c>
      <c r="O17" s="5">
        <v>6216.93</v>
      </c>
      <c r="P17" s="24">
        <v>37.36</v>
      </c>
      <c r="Q17" s="6">
        <v>45141</v>
      </c>
      <c r="R17" s="6">
        <v>45150</v>
      </c>
      <c r="S17" s="4" t="s">
        <v>86</v>
      </c>
      <c r="T17" s="4" t="s">
        <v>56</v>
      </c>
      <c r="U17" s="4" t="s">
        <v>87</v>
      </c>
      <c r="V17" s="4" t="s">
        <v>103</v>
      </c>
    </row>
    <row r="18" spans="1:22" ht="18" customHeight="1" x14ac:dyDescent="0.3">
      <c r="A18" s="25" t="s">
        <v>150</v>
      </c>
      <c r="B18" s="25" t="s">
        <v>151</v>
      </c>
      <c r="C18" s="26" t="s">
        <v>136</v>
      </c>
      <c r="D18" s="26" t="s">
        <v>23</v>
      </c>
      <c r="E18" s="26" t="s">
        <v>107</v>
      </c>
      <c r="F18" s="26" t="s">
        <v>63</v>
      </c>
      <c r="G18" s="26" t="s">
        <v>64</v>
      </c>
      <c r="H18" s="26" t="s">
        <v>152</v>
      </c>
      <c r="I18" s="25">
        <v>2</v>
      </c>
      <c r="J18" s="27">
        <v>39987.019999999997</v>
      </c>
      <c r="K18" s="27">
        <v>25</v>
      </c>
      <c r="L18" s="27">
        <v>29990.26</v>
      </c>
      <c r="M18" s="27">
        <v>59980.52</v>
      </c>
      <c r="N18" s="27">
        <v>35973.56</v>
      </c>
      <c r="O18" s="27">
        <v>24006.959999999999</v>
      </c>
      <c r="P18" s="28">
        <v>40.020000000000003</v>
      </c>
      <c r="Q18" s="29">
        <v>45243</v>
      </c>
      <c r="R18" s="29">
        <v>45244</v>
      </c>
      <c r="S18" s="26" t="s">
        <v>55</v>
      </c>
      <c r="T18" s="26" t="s">
        <v>56</v>
      </c>
      <c r="U18" s="26" t="s">
        <v>57</v>
      </c>
      <c r="V18" s="26" t="s">
        <v>109</v>
      </c>
    </row>
    <row r="19" spans="1:22" ht="18" customHeight="1" x14ac:dyDescent="0.3">
      <c r="A19" s="3" t="s">
        <v>153</v>
      </c>
      <c r="B19" s="3" t="s">
        <v>154</v>
      </c>
      <c r="C19" s="4" t="s">
        <v>155</v>
      </c>
      <c r="D19" s="4" t="s">
        <v>24</v>
      </c>
      <c r="E19" s="4" t="s">
        <v>113</v>
      </c>
      <c r="F19" s="4" t="s">
        <v>73</v>
      </c>
      <c r="G19" s="4" t="s">
        <v>74</v>
      </c>
      <c r="H19" s="4" t="s">
        <v>156</v>
      </c>
      <c r="I19" s="3">
        <v>8</v>
      </c>
      <c r="J19" s="5">
        <v>43138.33</v>
      </c>
      <c r="K19" s="5">
        <v>20</v>
      </c>
      <c r="L19" s="5">
        <v>34510.660000000003</v>
      </c>
      <c r="M19" s="5">
        <v>276085.28000000003</v>
      </c>
      <c r="N19" s="5">
        <v>151483.88</v>
      </c>
      <c r="O19" s="5">
        <v>124601.4</v>
      </c>
      <c r="P19" s="24">
        <v>45.13</v>
      </c>
      <c r="Q19" s="6">
        <v>45464</v>
      </c>
      <c r="R19" s="6">
        <v>45467</v>
      </c>
      <c r="S19" s="4" t="s">
        <v>66</v>
      </c>
      <c r="T19" s="4" t="s">
        <v>56</v>
      </c>
      <c r="U19" s="4" t="s">
        <v>67</v>
      </c>
      <c r="V19" s="4" t="s">
        <v>115</v>
      </c>
    </row>
    <row r="20" spans="1:22" ht="18" customHeight="1" x14ac:dyDescent="0.3">
      <c r="A20" s="25" t="s">
        <v>157</v>
      </c>
      <c r="B20" s="25" t="s">
        <v>158</v>
      </c>
      <c r="C20" s="26" t="s">
        <v>159</v>
      </c>
      <c r="D20" s="26" t="s">
        <v>25</v>
      </c>
      <c r="E20" s="26" t="s">
        <v>107</v>
      </c>
      <c r="F20" s="26" t="s">
        <v>83</v>
      </c>
      <c r="G20" s="26" t="s">
        <v>84</v>
      </c>
      <c r="H20" s="26" t="s">
        <v>160</v>
      </c>
      <c r="I20" s="25">
        <v>8</v>
      </c>
      <c r="J20" s="27">
        <v>37600.01</v>
      </c>
      <c r="K20" s="27">
        <v>10</v>
      </c>
      <c r="L20" s="27">
        <v>33840.01</v>
      </c>
      <c r="M20" s="27">
        <v>270720.08</v>
      </c>
      <c r="N20" s="27">
        <v>138246.54999999999</v>
      </c>
      <c r="O20" s="27">
        <v>132473.53</v>
      </c>
      <c r="P20" s="28">
        <v>48.93</v>
      </c>
      <c r="Q20" s="29">
        <v>45011</v>
      </c>
      <c r="R20" s="29">
        <v>45020</v>
      </c>
      <c r="S20" s="26" t="s">
        <v>76</v>
      </c>
      <c r="T20" s="26" t="s">
        <v>56</v>
      </c>
      <c r="U20" s="26" t="s">
        <v>77</v>
      </c>
      <c r="V20" s="26" t="s">
        <v>120</v>
      </c>
    </row>
    <row r="21" spans="1:22" ht="18" customHeight="1" x14ac:dyDescent="0.3">
      <c r="A21" s="3" t="s">
        <v>161</v>
      </c>
      <c r="B21" s="3" t="s">
        <v>162</v>
      </c>
      <c r="C21" s="4" t="s">
        <v>163</v>
      </c>
      <c r="D21" s="4" t="s">
        <v>9</v>
      </c>
      <c r="E21" s="4" t="s">
        <v>62</v>
      </c>
      <c r="F21" s="4" t="s">
        <v>93</v>
      </c>
      <c r="G21" s="4" t="s">
        <v>94</v>
      </c>
      <c r="H21" s="4" t="s">
        <v>164</v>
      </c>
      <c r="I21" s="3">
        <v>3</v>
      </c>
      <c r="J21" s="5">
        <v>20784.23</v>
      </c>
      <c r="K21" s="5">
        <v>5</v>
      </c>
      <c r="L21" s="5">
        <v>19745.02</v>
      </c>
      <c r="M21" s="5">
        <v>59235.06</v>
      </c>
      <c r="N21" s="5">
        <v>29095.200000000001</v>
      </c>
      <c r="O21" s="5">
        <v>30139.86</v>
      </c>
      <c r="P21" s="24">
        <v>50.88</v>
      </c>
      <c r="Q21" s="6">
        <v>45419</v>
      </c>
      <c r="R21" s="6">
        <v>45428</v>
      </c>
      <c r="S21" s="4" t="s">
        <v>86</v>
      </c>
      <c r="T21" s="4" t="s">
        <v>56</v>
      </c>
      <c r="U21" s="4" t="s">
        <v>87</v>
      </c>
      <c r="V21" s="4" t="s">
        <v>125</v>
      </c>
    </row>
    <row r="22" spans="1:22" ht="18" customHeight="1" x14ac:dyDescent="0.3">
      <c r="A22" s="25" t="s">
        <v>165</v>
      </c>
      <c r="B22" s="25" t="s">
        <v>166</v>
      </c>
      <c r="C22" s="26" t="s">
        <v>167</v>
      </c>
      <c r="D22" s="26" t="s">
        <v>3</v>
      </c>
      <c r="E22" s="26" t="s">
        <v>3</v>
      </c>
      <c r="F22" s="26" t="s">
        <v>52</v>
      </c>
      <c r="G22" s="26" t="s">
        <v>53</v>
      </c>
      <c r="H22" s="26" t="s">
        <v>54</v>
      </c>
      <c r="I22" s="25">
        <v>1</v>
      </c>
      <c r="J22" s="27">
        <v>1268.42</v>
      </c>
      <c r="K22" s="27">
        <v>0</v>
      </c>
      <c r="L22" s="27">
        <v>1268.42</v>
      </c>
      <c r="M22" s="27">
        <v>1268.42</v>
      </c>
      <c r="N22" s="27">
        <v>627.54999999999995</v>
      </c>
      <c r="O22" s="27">
        <v>640.87</v>
      </c>
      <c r="P22" s="28">
        <v>50.53</v>
      </c>
      <c r="Q22" s="29">
        <v>45117</v>
      </c>
      <c r="R22" s="29">
        <v>45123</v>
      </c>
      <c r="S22" s="26" t="s">
        <v>55</v>
      </c>
      <c r="T22" s="26" t="s">
        <v>56</v>
      </c>
      <c r="U22" s="26" t="s">
        <v>57</v>
      </c>
      <c r="V22" s="26" t="s">
        <v>58</v>
      </c>
    </row>
    <row r="23" spans="1:22" ht="18" customHeight="1" x14ac:dyDescent="0.3">
      <c r="A23" s="3" t="s">
        <v>168</v>
      </c>
      <c r="B23" s="3" t="s">
        <v>169</v>
      </c>
      <c r="C23" s="4" t="s">
        <v>170</v>
      </c>
      <c r="D23" s="4" t="s">
        <v>4</v>
      </c>
      <c r="E23" s="4" t="s">
        <v>62</v>
      </c>
      <c r="F23" s="4" t="s">
        <v>63</v>
      </c>
      <c r="G23" s="4" t="s">
        <v>64</v>
      </c>
      <c r="H23" s="4" t="s">
        <v>171</v>
      </c>
      <c r="I23" s="3">
        <v>1</v>
      </c>
      <c r="J23" s="5">
        <v>24839.79</v>
      </c>
      <c r="K23" s="5">
        <v>20</v>
      </c>
      <c r="L23" s="5">
        <v>19871.830000000002</v>
      </c>
      <c r="M23" s="5">
        <v>19871.830000000002</v>
      </c>
      <c r="N23" s="5">
        <v>11225.45</v>
      </c>
      <c r="O23" s="5">
        <v>8646.3799999999992</v>
      </c>
      <c r="P23" s="24">
        <v>43.51</v>
      </c>
      <c r="Q23" s="6">
        <v>45215</v>
      </c>
      <c r="R23" s="6">
        <v>45220</v>
      </c>
      <c r="S23" s="4" t="s">
        <v>66</v>
      </c>
      <c r="T23" s="4" t="s">
        <v>56</v>
      </c>
      <c r="U23" s="4" t="s">
        <v>67</v>
      </c>
      <c r="V23" s="4" t="s">
        <v>68</v>
      </c>
    </row>
    <row r="24" spans="1:22" ht="18" customHeight="1" x14ac:dyDescent="0.3">
      <c r="A24" s="25" t="s">
        <v>172</v>
      </c>
      <c r="B24" s="25" t="s">
        <v>173</v>
      </c>
      <c r="C24" s="26" t="s">
        <v>174</v>
      </c>
      <c r="D24" s="26" t="s">
        <v>5</v>
      </c>
      <c r="E24" s="26" t="s">
        <v>72</v>
      </c>
      <c r="F24" s="26" t="s">
        <v>73</v>
      </c>
      <c r="G24" s="26" t="s">
        <v>74</v>
      </c>
      <c r="H24" s="26" t="s">
        <v>175</v>
      </c>
      <c r="I24" s="25">
        <v>7</v>
      </c>
      <c r="J24" s="27">
        <v>48919.1</v>
      </c>
      <c r="K24" s="27">
        <v>10</v>
      </c>
      <c r="L24" s="27">
        <v>44027.19</v>
      </c>
      <c r="M24" s="27">
        <v>308190.33</v>
      </c>
      <c r="N24" s="27">
        <v>146323.65</v>
      </c>
      <c r="O24" s="27">
        <v>161866.68</v>
      </c>
      <c r="P24" s="28">
        <v>52.52</v>
      </c>
      <c r="Q24" s="29">
        <v>45119</v>
      </c>
      <c r="R24" s="29">
        <v>45126</v>
      </c>
      <c r="S24" s="26" t="s">
        <v>76</v>
      </c>
      <c r="T24" s="26" t="s">
        <v>56</v>
      </c>
      <c r="U24" s="26" t="s">
        <v>77</v>
      </c>
      <c r="V24" s="26" t="s">
        <v>78</v>
      </c>
    </row>
    <row r="25" spans="1:22" ht="18" customHeight="1" x14ac:dyDescent="0.3">
      <c r="A25" s="3" t="s">
        <v>176</v>
      </c>
      <c r="B25" s="3" t="s">
        <v>177</v>
      </c>
      <c r="C25" s="4" t="s">
        <v>178</v>
      </c>
      <c r="D25" s="4" t="s">
        <v>6</v>
      </c>
      <c r="E25" s="4" t="s">
        <v>82</v>
      </c>
      <c r="F25" s="4" t="s">
        <v>83</v>
      </c>
      <c r="G25" s="4" t="s">
        <v>84</v>
      </c>
      <c r="H25" s="4" t="s">
        <v>179</v>
      </c>
      <c r="I25" s="3">
        <v>4</v>
      </c>
      <c r="J25" s="5">
        <v>33661.78</v>
      </c>
      <c r="K25" s="5">
        <v>5</v>
      </c>
      <c r="L25" s="5">
        <v>31978.69</v>
      </c>
      <c r="M25" s="5">
        <v>127914.76</v>
      </c>
      <c r="N25" s="5">
        <v>77362.149999999994</v>
      </c>
      <c r="O25" s="5">
        <v>50552.61</v>
      </c>
      <c r="P25" s="24">
        <v>39.520000000000003</v>
      </c>
      <c r="Q25" s="6">
        <v>45322</v>
      </c>
      <c r="R25" s="6">
        <v>45332</v>
      </c>
      <c r="S25" s="4" t="s">
        <v>86</v>
      </c>
      <c r="T25" s="4" t="s">
        <v>56</v>
      </c>
      <c r="U25" s="4" t="s">
        <v>87</v>
      </c>
      <c r="V25" s="4" t="s">
        <v>88</v>
      </c>
    </row>
    <row r="26" spans="1:22" ht="18" customHeight="1" x14ac:dyDescent="0.3">
      <c r="A26" s="25" t="s">
        <v>180</v>
      </c>
      <c r="B26" s="25" t="s">
        <v>181</v>
      </c>
      <c r="C26" s="26" t="s">
        <v>182</v>
      </c>
      <c r="D26" s="26" t="s">
        <v>7</v>
      </c>
      <c r="E26" s="26" t="s">
        <v>92</v>
      </c>
      <c r="F26" s="26" t="s">
        <v>93</v>
      </c>
      <c r="G26" s="26" t="s">
        <v>94</v>
      </c>
      <c r="H26" s="26" t="s">
        <v>183</v>
      </c>
      <c r="I26" s="25">
        <v>8</v>
      </c>
      <c r="J26" s="27">
        <v>9509.9699999999993</v>
      </c>
      <c r="K26" s="27">
        <v>5</v>
      </c>
      <c r="L26" s="27">
        <v>9034.4699999999993</v>
      </c>
      <c r="M26" s="27">
        <v>72275.759999999995</v>
      </c>
      <c r="N26" s="27">
        <v>51458.73</v>
      </c>
      <c r="O26" s="27">
        <v>20817.03</v>
      </c>
      <c r="P26" s="28">
        <v>28.8</v>
      </c>
      <c r="Q26" s="29">
        <v>45367</v>
      </c>
      <c r="R26" s="29">
        <v>45372</v>
      </c>
      <c r="S26" s="26" t="s">
        <v>55</v>
      </c>
      <c r="T26" s="26" t="s">
        <v>56</v>
      </c>
      <c r="U26" s="26" t="s">
        <v>57</v>
      </c>
      <c r="V26" s="26" t="s">
        <v>96</v>
      </c>
    </row>
    <row r="27" spans="1:22" ht="18" customHeight="1" x14ac:dyDescent="0.3">
      <c r="A27" s="3" t="s">
        <v>184</v>
      </c>
      <c r="B27" s="3" t="s">
        <v>185</v>
      </c>
      <c r="C27" s="4" t="s">
        <v>186</v>
      </c>
      <c r="D27" s="4" t="s">
        <v>8</v>
      </c>
      <c r="E27" s="4" t="s">
        <v>100</v>
      </c>
      <c r="F27" s="4" t="s">
        <v>52</v>
      </c>
      <c r="G27" s="4" t="s">
        <v>53</v>
      </c>
      <c r="H27" s="4" t="s">
        <v>187</v>
      </c>
      <c r="I27" s="3">
        <v>4</v>
      </c>
      <c r="J27" s="5">
        <v>29419.279999999999</v>
      </c>
      <c r="K27" s="5">
        <v>25</v>
      </c>
      <c r="L27" s="5">
        <v>22064.46</v>
      </c>
      <c r="M27" s="5">
        <v>88257.84</v>
      </c>
      <c r="N27" s="5">
        <v>64892.15</v>
      </c>
      <c r="O27" s="5">
        <v>23365.69</v>
      </c>
      <c r="P27" s="24">
        <v>26.47</v>
      </c>
      <c r="Q27" s="6">
        <v>45391</v>
      </c>
      <c r="R27" s="6">
        <v>45399</v>
      </c>
      <c r="S27" s="4" t="s">
        <v>66</v>
      </c>
      <c r="T27" s="4" t="s">
        <v>56</v>
      </c>
      <c r="U27" s="4" t="s">
        <v>67</v>
      </c>
      <c r="V27" s="4" t="s">
        <v>103</v>
      </c>
    </row>
    <row r="28" spans="1:22" ht="18" customHeight="1" x14ac:dyDescent="0.3">
      <c r="A28" s="25" t="s">
        <v>188</v>
      </c>
      <c r="B28" s="25" t="s">
        <v>189</v>
      </c>
      <c r="C28" s="26" t="s">
        <v>190</v>
      </c>
      <c r="D28" s="26" t="s">
        <v>23</v>
      </c>
      <c r="E28" s="26" t="s">
        <v>107</v>
      </c>
      <c r="F28" s="26" t="s">
        <v>63</v>
      </c>
      <c r="G28" s="26" t="s">
        <v>64</v>
      </c>
      <c r="H28" s="26" t="s">
        <v>152</v>
      </c>
      <c r="I28" s="25">
        <v>8</v>
      </c>
      <c r="J28" s="27">
        <v>7997.09</v>
      </c>
      <c r="K28" s="27">
        <v>5</v>
      </c>
      <c r="L28" s="27">
        <v>7597.24</v>
      </c>
      <c r="M28" s="27">
        <v>60777.919999999998</v>
      </c>
      <c r="N28" s="27">
        <v>42395.8</v>
      </c>
      <c r="O28" s="27">
        <v>18382.12</v>
      </c>
      <c r="P28" s="28">
        <v>30.24</v>
      </c>
      <c r="Q28" s="29">
        <v>45033</v>
      </c>
      <c r="R28" s="29">
        <v>45036</v>
      </c>
      <c r="S28" s="26" t="s">
        <v>76</v>
      </c>
      <c r="T28" s="26" t="s">
        <v>56</v>
      </c>
      <c r="U28" s="26" t="s">
        <v>77</v>
      </c>
      <c r="V28" s="26" t="s">
        <v>109</v>
      </c>
    </row>
    <row r="29" spans="1:22" ht="18" customHeight="1" x14ac:dyDescent="0.3">
      <c r="A29" s="3" t="s">
        <v>191</v>
      </c>
      <c r="B29" s="3" t="s">
        <v>192</v>
      </c>
      <c r="C29" s="4" t="s">
        <v>193</v>
      </c>
      <c r="D29" s="4" t="s">
        <v>24</v>
      </c>
      <c r="E29" s="4" t="s">
        <v>113</v>
      </c>
      <c r="F29" s="4" t="s">
        <v>73</v>
      </c>
      <c r="G29" s="4" t="s">
        <v>74</v>
      </c>
      <c r="H29" s="4" t="s">
        <v>175</v>
      </c>
      <c r="I29" s="3">
        <v>7</v>
      </c>
      <c r="J29" s="5">
        <v>6664.59</v>
      </c>
      <c r="K29" s="5">
        <v>5</v>
      </c>
      <c r="L29" s="5">
        <v>6331.36</v>
      </c>
      <c r="M29" s="5">
        <v>44319.519999999997</v>
      </c>
      <c r="N29" s="5">
        <v>21232.52</v>
      </c>
      <c r="O29" s="5">
        <v>23087</v>
      </c>
      <c r="P29" s="24">
        <v>52.09</v>
      </c>
      <c r="Q29" s="6">
        <v>45065</v>
      </c>
      <c r="R29" s="6">
        <v>45074</v>
      </c>
      <c r="S29" s="4" t="s">
        <v>86</v>
      </c>
      <c r="T29" s="4" t="s">
        <v>56</v>
      </c>
      <c r="U29" s="4" t="s">
        <v>87</v>
      </c>
      <c r="V29" s="4" t="s">
        <v>115</v>
      </c>
    </row>
    <row r="30" spans="1:22" ht="18" customHeight="1" x14ac:dyDescent="0.3">
      <c r="A30" s="25" t="s">
        <v>194</v>
      </c>
      <c r="B30" s="25" t="s">
        <v>195</v>
      </c>
      <c r="C30" s="26" t="s">
        <v>196</v>
      </c>
      <c r="D30" s="26" t="s">
        <v>25</v>
      </c>
      <c r="E30" s="26" t="s">
        <v>107</v>
      </c>
      <c r="F30" s="26" t="s">
        <v>83</v>
      </c>
      <c r="G30" s="26" t="s">
        <v>84</v>
      </c>
      <c r="H30" s="26" t="s">
        <v>197</v>
      </c>
      <c r="I30" s="25">
        <v>2</v>
      </c>
      <c r="J30" s="27">
        <v>39749.85</v>
      </c>
      <c r="K30" s="27">
        <v>15</v>
      </c>
      <c r="L30" s="27">
        <v>33787.370000000003</v>
      </c>
      <c r="M30" s="27">
        <v>67574.740000000005</v>
      </c>
      <c r="N30" s="27">
        <v>50533.26</v>
      </c>
      <c r="O30" s="27">
        <v>17041.48</v>
      </c>
      <c r="P30" s="28">
        <v>25.22</v>
      </c>
      <c r="Q30" s="29">
        <v>45505</v>
      </c>
      <c r="R30" s="29">
        <v>45514</v>
      </c>
      <c r="S30" s="26" t="s">
        <v>55</v>
      </c>
      <c r="T30" s="26" t="s">
        <v>56</v>
      </c>
      <c r="U30" s="26" t="s">
        <v>57</v>
      </c>
      <c r="V30" s="26" t="s">
        <v>120</v>
      </c>
    </row>
    <row r="31" spans="1:22" ht="18" customHeight="1" x14ac:dyDescent="0.3">
      <c r="A31" s="3" t="s">
        <v>198</v>
      </c>
      <c r="B31" s="3" t="s">
        <v>199</v>
      </c>
      <c r="C31" s="4" t="s">
        <v>200</v>
      </c>
      <c r="D31" s="4" t="s">
        <v>9</v>
      </c>
      <c r="E31" s="4" t="s">
        <v>62</v>
      </c>
      <c r="F31" s="4" t="s">
        <v>93</v>
      </c>
      <c r="G31" s="4" t="s">
        <v>94</v>
      </c>
      <c r="H31" s="4" t="s">
        <v>164</v>
      </c>
      <c r="I31" s="3">
        <v>8</v>
      </c>
      <c r="J31" s="5">
        <v>24729.84</v>
      </c>
      <c r="K31" s="5">
        <v>20</v>
      </c>
      <c r="L31" s="5">
        <v>19783.87</v>
      </c>
      <c r="M31" s="5">
        <v>158270.96</v>
      </c>
      <c r="N31" s="5">
        <v>111687.34</v>
      </c>
      <c r="O31" s="5">
        <v>46583.62</v>
      </c>
      <c r="P31" s="24">
        <v>29.43</v>
      </c>
      <c r="Q31" s="6">
        <v>45111</v>
      </c>
      <c r="R31" s="6">
        <v>45120</v>
      </c>
      <c r="S31" s="4" t="s">
        <v>66</v>
      </c>
      <c r="T31" s="4" t="s">
        <v>56</v>
      </c>
      <c r="U31" s="4" t="s">
        <v>67</v>
      </c>
      <c r="V31" s="4" t="s">
        <v>125</v>
      </c>
    </row>
    <row r="32" spans="1:22" ht="18" customHeight="1" x14ac:dyDescent="0.3">
      <c r="A32" s="25" t="s">
        <v>201</v>
      </c>
      <c r="B32" s="25" t="s">
        <v>202</v>
      </c>
      <c r="C32" s="26" t="s">
        <v>203</v>
      </c>
      <c r="D32" s="26" t="s">
        <v>3</v>
      </c>
      <c r="E32" s="26" t="s">
        <v>3</v>
      </c>
      <c r="F32" s="26" t="s">
        <v>52</v>
      </c>
      <c r="G32" s="26" t="s">
        <v>53</v>
      </c>
      <c r="H32" s="26" t="s">
        <v>129</v>
      </c>
      <c r="I32" s="25">
        <v>8</v>
      </c>
      <c r="J32" s="27">
        <v>45986.59</v>
      </c>
      <c r="K32" s="27">
        <v>25</v>
      </c>
      <c r="L32" s="27">
        <v>34489.94</v>
      </c>
      <c r="M32" s="27">
        <v>275919.52</v>
      </c>
      <c r="N32" s="27">
        <v>143695.12</v>
      </c>
      <c r="O32" s="27">
        <v>132224.4</v>
      </c>
      <c r="P32" s="28">
        <v>47.92</v>
      </c>
      <c r="Q32" s="29">
        <v>45186</v>
      </c>
      <c r="R32" s="29">
        <v>45187</v>
      </c>
      <c r="S32" s="26" t="s">
        <v>76</v>
      </c>
      <c r="T32" s="26" t="s">
        <v>56</v>
      </c>
      <c r="U32" s="26" t="s">
        <v>77</v>
      </c>
      <c r="V32" s="26" t="s">
        <v>58</v>
      </c>
    </row>
    <row r="33" spans="1:22" ht="18" customHeight="1" x14ac:dyDescent="0.3">
      <c r="A33" s="3" t="s">
        <v>204</v>
      </c>
      <c r="B33" s="3" t="s">
        <v>205</v>
      </c>
      <c r="C33" s="4" t="s">
        <v>206</v>
      </c>
      <c r="D33" s="4" t="s">
        <v>4</v>
      </c>
      <c r="E33" s="4" t="s">
        <v>62</v>
      </c>
      <c r="F33" s="4" t="s">
        <v>63</v>
      </c>
      <c r="G33" s="4" t="s">
        <v>64</v>
      </c>
      <c r="H33" s="4" t="s">
        <v>207</v>
      </c>
      <c r="I33" s="3">
        <v>1</v>
      </c>
      <c r="J33" s="5">
        <v>46451.15</v>
      </c>
      <c r="K33" s="5">
        <v>10</v>
      </c>
      <c r="L33" s="5">
        <v>41806.04</v>
      </c>
      <c r="M33" s="5">
        <v>41806.04</v>
      </c>
      <c r="N33" s="5">
        <v>28900.73</v>
      </c>
      <c r="O33" s="5">
        <v>12905.31</v>
      </c>
      <c r="P33" s="24">
        <v>30.87</v>
      </c>
      <c r="Q33" s="6">
        <v>45126</v>
      </c>
      <c r="R33" s="6">
        <v>45131</v>
      </c>
      <c r="S33" s="4" t="s">
        <v>86</v>
      </c>
      <c r="T33" s="4" t="s">
        <v>56</v>
      </c>
      <c r="U33" s="4" t="s">
        <v>87</v>
      </c>
      <c r="V33" s="4" t="s">
        <v>68</v>
      </c>
    </row>
    <row r="34" spans="1:22" ht="18" customHeight="1" x14ac:dyDescent="0.3">
      <c r="A34" s="25" t="s">
        <v>208</v>
      </c>
      <c r="B34" s="25" t="s">
        <v>209</v>
      </c>
      <c r="C34" s="26" t="s">
        <v>210</v>
      </c>
      <c r="D34" s="26" t="s">
        <v>5</v>
      </c>
      <c r="E34" s="26" t="s">
        <v>72</v>
      </c>
      <c r="F34" s="26" t="s">
        <v>73</v>
      </c>
      <c r="G34" s="26" t="s">
        <v>74</v>
      </c>
      <c r="H34" s="26" t="s">
        <v>211</v>
      </c>
      <c r="I34" s="25">
        <v>10</v>
      </c>
      <c r="J34" s="27">
        <v>21762.880000000001</v>
      </c>
      <c r="K34" s="27">
        <v>20</v>
      </c>
      <c r="L34" s="27">
        <v>17410.3</v>
      </c>
      <c r="M34" s="27">
        <v>174103</v>
      </c>
      <c r="N34" s="27">
        <v>127106.43</v>
      </c>
      <c r="O34" s="27">
        <v>46996.57</v>
      </c>
      <c r="P34" s="28">
        <v>26.99</v>
      </c>
      <c r="Q34" s="29">
        <v>45286</v>
      </c>
      <c r="R34" s="29">
        <v>45288</v>
      </c>
      <c r="S34" s="26" t="s">
        <v>55</v>
      </c>
      <c r="T34" s="26" t="s">
        <v>56</v>
      </c>
      <c r="U34" s="26" t="s">
        <v>57</v>
      </c>
      <c r="V34" s="26" t="s">
        <v>78</v>
      </c>
    </row>
    <row r="35" spans="1:22" ht="18" customHeight="1" x14ac:dyDescent="0.3">
      <c r="A35" s="3" t="s">
        <v>212</v>
      </c>
      <c r="B35" s="3" t="s">
        <v>213</v>
      </c>
      <c r="C35" s="4" t="s">
        <v>214</v>
      </c>
      <c r="D35" s="4" t="s">
        <v>6</v>
      </c>
      <c r="E35" s="4" t="s">
        <v>82</v>
      </c>
      <c r="F35" s="4" t="s">
        <v>83</v>
      </c>
      <c r="G35" s="4" t="s">
        <v>84</v>
      </c>
      <c r="H35" s="4" t="s">
        <v>215</v>
      </c>
      <c r="I35" s="3">
        <v>9</v>
      </c>
      <c r="J35" s="5">
        <v>36358.25</v>
      </c>
      <c r="K35" s="5">
        <v>25</v>
      </c>
      <c r="L35" s="5">
        <v>27268.69</v>
      </c>
      <c r="M35" s="5">
        <v>245418.21</v>
      </c>
      <c r="N35" s="5">
        <v>171094.6</v>
      </c>
      <c r="O35" s="5">
        <v>74323.61</v>
      </c>
      <c r="P35" s="24">
        <v>30.28</v>
      </c>
      <c r="Q35" s="6">
        <v>45592</v>
      </c>
      <c r="R35" s="6">
        <v>45602</v>
      </c>
      <c r="S35" s="4" t="s">
        <v>66</v>
      </c>
      <c r="T35" s="4" t="s">
        <v>56</v>
      </c>
      <c r="U35" s="4" t="s">
        <v>67</v>
      </c>
      <c r="V35" s="4" t="s">
        <v>88</v>
      </c>
    </row>
    <row r="36" spans="1:22" ht="18" customHeight="1" x14ac:dyDescent="0.3">
      <c r="A36" s="25" t="s">
        <v>216</v>
      </c>
      <c r="B36" s="25" t="s">
        <v>217</v>
      </c>
      <c r="C36" s="26" t="s">
        <v>218</v>
      </c>
      <c r="D36" s="26" t="s">
        <v>7</v>
      </c>
      <c r="E36" s="26" t="s">
        <v>92</v>
      </c>
      <c r="F36" s="26" t="s">
        <v>93</v>
      </c>
      <c r="G36" s="26" t="s">
        <v>94</v>
      </c>
      <c r="H36" s="26" t="s">
        <v>219</v>
      </c>
      <c r="I36" s="25">
        <v>6</v>
      </c>
      <c r="J36" s="27">
        <v>1537.62</v>
      </c>
      <c r="K36" s="27">
        <v>30</v>
      </c>
      <c r="L36" s="27">
        <v>1076.33</v>
      </c>
      <c r="M36" s="27">
        <v>6457.98</v>
      </c>
      <c r="N36" s="27">
        <v>3128.23</v>
      </c>
      <c r="O36" s="27">
        <v>3329.75</v>
      </c>
      <c r="P36" s="28">
        <v>51.56</v>
      </c>
      <c r="Q36" s="29">
        <v>45454</v>
      </c>
      <c r="R36" s="29">
        <v>45458</v>
      </c>
      <c r="S36" s="26" t="s">
        <v>76</v>
      </c>
      <c r="T36" s="26" t="s">
        <v>102</v>
      </c>
      <c r="U36" s="26" t="s">
        <v>77</v>
      </c>
      <c r="V36" s="26" t="s">
        <v>96</v>
      </c>
    </row>
    <row r="37" spans="1:22" ht="18" customHeight="1" x14ac:dyDescent="0.3">
      <c r="A37" s="3" t="s">
        <v>220</v>
      </c>
      <c r="B37" s="3" t="s">
        <v>221</v>
      </c>
      <c r="C37" s="4" t="s">
        <v>222</v>
      </c>
      <c r="D37" s="4" t="s">
        <v>8</v>
      </c>
      <c r="E37" s="4" t="s">
        <v>100</v>
      </c>
      <c r="F37" s="4" t="s">
        <v>52</v>
      </c>
      <c r="G37" s="4" t="s">
        <v>53</v>
      </c>
      <c r="H37" s="4" t="s">
        <v>187</v>
      </c>
      <c r="I37" s="3">
        <v>9</v>
      </c>
      <c r="J37" s="5">
        <v>15896.9</v>
      </c>
      <c r="K37" s="5">
        <v>0</v>
      </c>
      <c r="L37" s="5">
        <v>15896.9</v>
      </c>
      <c r="M37" s="5">
        <v>143072.1</v>
      </c>
      <c r="N37" s="5">
        <v>82966.509999999995</v>
      </c>
      <c r="O37" s="5">
        <v>60105.59</v>
      </c>
      <c r="P37" s="24">
        <v>42.01</v>
      </c>
      <c r="Q37" s="6">
        <v>45450</v>
      </c>
      <c r="R37" s="6">
        <v>45456</v>
      </c>
      <c r="S37" s="4" t="s">
        <v>86</v>
      </c>
      <c r="T37" s="4" t="s">
        <v>56</v>
      </c>
      <c r="U37" s="4" t="s">
        <v>87</v>
      </c>
      <c r="V37" s="4" t="s">
        <v>103</v>
      </c>
    </row>
    <row r="38" spans="1:22" ht="18" customHeight="1" x14ac:dyDescent="0.3">
      <c r="A38" s="25" t="s">
        <v>223</v>
      </c>
      <c r="B38" s="25" t="s">
        <v>224</v>
      </c>
      <c r="C38" s="26" t="s">
        <v>225</v>
      </c>
      <c r="D38" s="26" t="s">
        <v>23</v>
      </c>
      <c r="E38" s="26" t="s">
        <v>107</v>
      </c>
      <c r="F38" s="26" t="s">
        <v>63</v>
      </c>
      <c r="G38" s="26" t="s">
        <v>64</v>
      </c>
      <c r="H38" s="26" t="s">
        <v>226</v>
      </c>
      <c r="I38" s="25">
        <v>10</v>
      </c>
      <c r="J38" s="27">
        <v>817.3</v>
      </c>
      <c r="K38" s="27">
        <v>20</v>
      </c>
      <c r="L38" s="27">
        <v>653.84</v>
      </c>
      <c r="M38" s="27">
        <v>6538.4</v>
      </c>
      <c r="N38" s="27">
        <v>3862.23</v>
      </c>
      <c r="O38" s="27">
        <v>2676.17</v>
      </c>
      <c r="P38" s="28">
        <v>40.93</v>
      </c>
      <c r="Q38" s="29">
        <v>45613</v>
      </c>
      <c r="R38" s="29">
        <v>45615</v>
      </c>
      <c r="S38" s="26" t="s">
        <v>55</v>
      </c>
      <c r="T38" s="26" t="s">
        <v>56</v>
      </c>
      <c r="U38" s="26" t="s">
        <v>57</v>
      </c>
      <c r="V38" s="26" t="s">
        <v>109</v>
      </c>
    </row>
    <row r="39" spans="1:22" ht="18" customHeight="1" x14ac:dyDescent="0.3">
      <c r="A39" s="3" t="s">
        <v>227</v>
      </c>
      <c r="B39" s="3" t="s">
        <v>228</v>
      </c>
      <c r="C39" s="4" t="s">
        <v>229</v>
      </c>
      <c r="D39" s="4" t="s">
        <v>24</v>
      </c>
      <c r="E39" s="4" t="s">
        <v>113</v>
      </c>
      <c r="F39" s="4" t="s">
        <v>73</v>
      </c>
      <c r="G39" s="4" t="s">
        <v>74</v>
      </c>
      <c r="H39" s="4" t="s">
        <v>230</v>
      </c>
      <c r="I39" s="3">
        <v>7</v>
      </c>
      <c r="J39" s="5">
        <v>30484.53</v>
      </c>
      <c r="K39" s="5">
        <v>25</v>
      </c>
      <c r="L39" s="5">
        <v>22863.4</v>
      </c>
      <c r="M39" s="5">
        <v>160043.79999999999</v>
      </c>
      <c r="N39" s="5">
        <v>80630.67</v>
      </c>
      <c r="O39" s="5">
        <v>79413.13</v>
      </c>
      <c r="P39" s="24">
        <v>49.62</v>
      </c>
      <c r="Q39" s="6">
        <v>45075</v>
      </c>
      <c r="R39" s="6">
        <v>45080</v>
      </c>
      <c r="S39" s="4" t="s">
        <v>66</v>
      </c>
      <c r="T39" s="4" t="s">
        <v>56</v>
      </c>
      <c r="U39" s="4" t="s">
        <v>67</v>
      </c>
      <c r="V39" s="4" t="s">
        <v>115</v>
      </c>
    </row>
    <row r="40" spans="1:22" ht="18" customHeight="1" x14ac:dyDescent="0.3">
      <c r="A40" s="25" t="s">
        <v>231</v>
      </c>
      <c r="B40" s="25" t="s">
        <v>232</v>
      </c>
      <c r="C40" s="26" t="s">
        <v>233</v>
      </c>
      <c r="D40" s="26" t="s">
        <v>25</v>
      </c>
      <c r="E40" s="26" t="s">
        <v>107</v>
      </c>
      <c r="F40" s="26" t="s">
        <v>83</v>
      </c>
      <c r="G40" s="26" t="s">
        <v>84</v>
      </c>
      <c r="H40" s="26" t="s">
        <v>234</v>
      </c>
      <c r="I40" s="25">
        <v>6</v>
      </c>
      <c r="J40" s="27">
        <v>15144.88</v>
      </c>
      <c r="K40" s="27">
        <v>10</v>
      </c>
      <c r="L40" s="27">
        <v>13630.39</v>
      </c>
      <c r="M40" s="27">
        <v>81782.34</v>
      </c>
      <c r="N40" s="27">
        <v>43840.46</v>
      </c>
      <c r="O40" s="27">
        <v>37941.879999999997</v>
      </c>
      <c r="P40" s="28">
        <v>46.39</v>
      </c>
      <c r="Q40" s="29">
        <v>45609</v>
      </c>
      <c r="R40" s="29">
        <v>45619</v>
      </c>
      <c r="S40" s="26" t="s">
        <v>76</v>
      </c>
      <c r="T40" s="26" t="s">
        <v>235</v>
      </c>
      <c r="U40" s="26" t="s">
        <v>77</v>
      </c>
      <c r="V40" s="26" t="s">
        <v>120</v>
      </c>
    </row>
    <row r="41" spans="1:22" ht="18" customHeight="1" x14ac:dyDescent="0.3">
      <c r="A41" s="3" t="s">
        <v>236</v>
      </c>
      <c r="B41" s="3" t="s">
        <v>237</v>
      </c>
      <c r="C41" s="4" t="s">
        <v>238</v>
      </c>
      <c r="D41" s="4" t="s">
        <v>9</v>
      </c>
      <c r="E41" s="4" t="s">
        <v>62</v>
      </c>
      <c r="F41" s="4" t="s">
        <v>93</v>
      </c>
      <c r="G41" s="4" t="s">
        <v>94</v>
      </c>
      <c r="H41" s="4" t="s">
        <v>239</v>
      </c>
      <c r="I41" s="3">
        <v>9</v>
      </c>
      <c r="J41" s="5">
        <v>36627.129999999997</v>
      </c>
      <c r="K41" s="5">
        <v>30</v>
      </c>
      <c r="L41" s="5">
        <v>25638.99</v>
      </c>
      <c r="M41" s="5">
        <v>230750.91</v>
      </c>
      <c r="N41" s="5">
        <v>125976.2</v>
      </c>
      <c r="O41" s="5">
        <v>104774.71</v>
      </c>
      <c r="P41" s="24">
        <v>45.41</v>
      </c>
      <c r="Q41" s="6">
        <v>45080</v>
      </c>
      <c r="R41" s="6">
        <v>45088</v>
      </c>
      <c r="S41" s="4" t="s">
        <v>86</v>
      </c>
      <c r="T41" s="4" t="s">
        <v>56</v>
      </c>
      <c r="U41" s="4" t="s">
        <v>87</v>
      </c>
      <c r="V41" s="4" t="s">
        <v>125</v>
      </c>
    </row>
    <row r="42" spans="1:22" ht="18" customHeight="1" x14ac:dyDescent="0.3">
      <c r="A42" s="25" t="s">
        <v>240</v>
      </c>
      <c r="B42" s="25" t="s">
        <v>241</v>
      </c>
      <c r="C42" s="26" t="s">
        <v>242</v>
      </c>
      <c r="D42" s="26" t="s">
        <v>3</v>
      </c>
      <c r="E42" s="26" t="s">
        <v>3</v>
      </c>
      <c r="F42" s="26" t="s">
        <v>52</v>
      </c>
      <c r="G42" s="26" t="s">
        <v>53</v>
      </c>
      <c r="H42" s="26" t="s">
        <v>243</v>
      </c>
      <c r="I42" s="25">
        <v>5</v>
      </c>
      <c r="J42" s="27">
        <v>29666.28</v>
      </c>
      <c r="K42" s="27">
        <v>15</v>
      </c>
      <c r="L42" s="27">
        <v>25216.34</v>
      </c>
      <c r="M42" s="27">
        <v>126081.7</v>
      </c>
      <c r="N42" s="27">
        <v>76873.69</v>
      </c>
      <c r="O42" s="27">
        <v>49208.01</v>
      </c>
      <c r="P42" s="28">
        <v>39.03</v>
      </c>
      <c r="Q42" s="29">
        <v>45131</v>
      </c>
      <c r="R42" s="29">
        <v>45139</v>
      </c>
      <c r="S42" s="26" t="s">
        <v>55</v>
      </c>
      <c r="T42" s="26" t="s">
        <v>56</v>
      </c>
      <c r="U42" s="26" t="s">
        <v>57</v>
      </c>
      <c r="V42" s="26" t="s">
        <v>58</v>
      </c>
    </row>
    <row r="43" spans="1:22" ht="18" customHeight="1" x14ac:dyDescent="0.3">
      <c r="A43" s="3" t="s">
        <v>244</v>
      </c>
      <c r="B43" s="3" t="s">
        <v>245</v>
      </c>
      <c r="C43" s="4" t="s">
        <v>246</v>
      </c>
      <c r="D43" s="4" t="s">
        <v>4</v>
      </c>
      <c r="E43" s="4" t="s">
        <v>62</v>
      </c>
      <c r="F43" s="4" t="s">
        <v>63</v>
      </c>
      <c r="G43" s="4" t="s">
        <v>64</v>
      </c>
      <c r="H43" s="4" t="s">
        <v>171</v>
      </c>
      <c r="I43" s="3">
        <v>4</v>
      </c>
      <c r="J43" s="5">
        <v>7999.51</v>
      </c>
      <c r="K43" s="5">
        <v>20</v>
      </c>
      <c r="L43" s="5">
        <v>6399.61</v>
      </c>
      <c r="M43" s="5">
        <v>25598.44</v>
      </c>
      <c r="N43" s="5">
        <v>17073.189999999999</v>
      </c>
      <c r="O43" s="5">
        <v>8525.25</v>
      </c>
      <c r="P43" s="24">
        <v>33.299999999999997</v>
      </c>
      <c r="Q43" s="6">
        <v>45554</v>
      </c>
      <c r="R43" s="6">
        <v>45560</v>
      </c>
      <c r="S43" s="4" t="s">
        <v>66</v>
      </c>
      <c r="T43" s="4" t="s">
        <v>56</v>
      </c>
      <c r="U43" s="4" t="s">
        <v>67</v>
      </c>
      <c r="V43" s="4" t="s">
        <v>68</v>
      </c>
    </row>
    <row r="44" spans="1:22" ht="18" customHeight="1" x14ac:dyDescent="0.3">
      <c r="A44" s="25" t="s">
        <v>247</v>
      </c>
      <c r="B44" s="25" t="s">
        <v>248</v>
      </c>
      <c r="C44" s="26" t="s">
        <v>249</v>
      </c>
      <c r="D44" s="26" t="s">
        <v>5</v>
      </c>
      <c r="E44" s="26" t="s">
        <v>72</v>
      </c>
      <c r="F44" s="26" t="s">
        <v>73</v>
      </c>
      <c r="G44" s="26" t="s">
        <v>74</v>
      </c>
      <c r="H44" s="26" t="s">
        <v>175</v>
      </c>
      <c r="I44" s="25">
        <v>5</v>
      </c>
      <c r="J44" s="27">
        <v>8767.41</v>
      </c>
      <c r="K44" s="27">
        <v>25</v>
      </c>
      <c r="L44" s="27">
        <v>6575.56</v>
      </c>
      <c r="M44" s="27">
        <v>32877.800000000003</v>
      </c>
      <c r="N44" s="27">
        <v>23239.68</v>
      </c>
      <c r="O44" s="27">
        <v>9638.1200000000008</v>
      </c>
      <c r="P44" s="28">
        <v>29.31</v>
      </c>
      <c r="Q44" s="29">
        <v>45041</v>
      </c>
      <c r="R44" s="29">
        <v>45050</v>
      </c>
      <c r="S44" s="26" t="s">
        <v>76</v>
      </c>
      <c r="T44" s="26" t="s">
        <v>235</v>
      </c>
      <c r="U44" s="26" t="s">
        <v>77</v>
      </c>
      <c r="V44" s="26" t="s">
        <v>78</v>
      </c>
    </row>
    <row r="45" spans="1:22" ht="18" customHeight="1" x14ac:dyDescent="0.3">
      <c r="A45" s="3" t="s">
        <v>250</v>
      </c>
      <c r="B45" s="3" t="s">
        <v>251</v>
      </c>
      <c r="C45" s="4" t="s">
        <v>252</v>
      </c>
      <c r="D45" s="4" t="s">
        <v>6</v>
      </c>
      <c r="E45" s="4" t="s">
        <v>82</v>
      </c>
      <c r="F45" s="4" t="s">
        <v>83</v>
      </c>
      <c r="G45" s="4" t="s">
        <v>84</v>
      </c>
      <c r="H45" s="4" t="s">
        <v>253</v>
      </c>
      <c r="I45" s="3">
        <v>9</v>
      </c>
      <c r="J45" s="5">
        <v>33394.01</v>
      </c>
      <c r="K45" s="5">
        <v>20</v>
      </c>
      <c r="L45" s="5">
        <v>26715.21</v>
      </c>
      <c r="M45" s="5">
        <v>240436.89</v>
      </c>
      <c r="N45" s="5">
        <v>153638.35</v>
      </c>
      <c r="O45" s="5">
        <v>86798.54</v>
      </c>
      <c r="P45" s="24">
        <v>36.1</v>
      </c>
      <c r="Q45" s="6">
        <v>45590</v>
      </c>
      <c r="R45" s="6">
        <v>45598</v>
      </c>
      <c r="S45" s="4" t="s">
        <v>86</v>
      </c>
      <c r="T45" s="4" t="s">
        <v>56</v>
      </c>
      <c r="U45" s="4" t="s">
        <v>87</v>
      </c>
      <c r="V45" s="4" t="s">
        <v>88</v>
      </c>
    </row>
    <row r="46" spans="1:22" ht="18" customHeight="1" x14ac:dyDescent="0.3">
      <c r="A46" s="25" t="s">
        <v>254</v>
      </c>
      <c r="B46" s="25" t="s">
        <v>255</v>
      </c>
      <c r="C46" s="26" t="s">
        <v>256</v>
      </c>
      <c r="D46" s="26" t="s">
        <v>7</v>
      </c>
      <c r="E46" s="26" t="s">
        <v>92</v>
      </c>
      <c r="F46" s="26" t="s">
        <v>93</v>
      </c>
      <c r="G46" s="26" t="s">
        <v>94</v>
      </c>
      <c r="H46" s="26" t="s">
        <v>183</v>
      </c>
      <c r="I46" s="25">
        <v>10</v>
      </c>
      <c r="J46" s="27">
        <v>43819.72</v>
      </c>
      <c r="K46" s="27">
        <v>25</v>
      </c>
      <c r="L46" s="27">
        <v>32864.79</v>
      </c>
      <c r="M46" s="27">
        <v>328647.90000000002</v>
      </c>
      <c r="N46" s="27">
        <v>190403.82</v>
      </c>
      <c r="O46" s="27">
        <v>138244.07999999999</v>
      </c>
      <c r="P46" s="28">
        <v>42.06</v>
      </c>
      <c r="Q46" s="29">
        <v>44958</v>
      </c>
      <c r="R46" s="29">
        <v>44967</v>
      </c>
      <c r="S46" s="26" t="s">
        <v>55</v>
      </c>
      <c r="T46" s="26" t="s">
        <v>56</v>
      </c>
      <c r="U46" s="26" t="s">
        <v>57</v>
      </c>
      <c r="V46" s="26" t="s">
        <v>96</v>
      </c>
    </row>
    <row r="47" spans="1:22" ht="18" customHeight="1" x14ac:dyDescent="0.3">
      <c r="A47" s="3" t="s">
        <v>257</v>
      </c>
      <c r="B47" s="3" t="s">
        <v>258</v>
      </c>
      <c r="C47" s="4" t="s">
        <v>259</v>
      </c>
      <c r="D47" s="4" t="s">
        <v>8</v>
      </c>
      <c r="E47" s="4" t="s">
        <v>100</v>
      </c>
      <c r="F47" s="4" t="s">
        <v>52</v>
      </c>
      <c r="G47" s="4" t="s">
        <v>53</v>
      </c>
      <c r="H47" s="4" t="s">
        <v>260</v>
      </c>
      <c r="I47" s="3">
        <v>4</v>
      </c>
      <c r="J47" s="5">
        <v>45517.68</v>
      </c>
      <c r="K47" s="5">
        <v>25</v>
      </c>
      <c r="L47" s="5">
        <v>34138.26</v>
      </c>
      <c r="M47" s="5">
        <v>136553.04</v>
      </c>
      <c r="N47" s="5">
        <v>67761.58</v>
      </c>
      <c r="O47" s="5">
        <v>68791.460000000006</v>
      </c>
      <c r="P47" s="24">
        <v>50.38</v>
      </c>
      <c r="Q47" s="6">
        <v>45222</v>
      </c>
      <c r="R47" s="6">
        <v>45228</v>
      </c>
      <c r="S47" s="4" t="s">
        <v>66</v>
      </c>
      <c r="T47" s="4" t="s">
        <v>56</v>
      </c>
      <c r="U47" s="4" t="s">
        <v>67</v>
      </c>
      <c r="V47" s="4" t="s">
        <v>103</v>
      </c>
    </row>
    <row r="48" spans="1:22" ht="18" customHeight="1" x14ac:dyDescent="0.3">
      <c r="A48" s="25" t="s">
        <v>261</v>
      </c>
      <c r="B48" s="25" t="s">
        <v>262</v>
      </c>
      <c r="C48" s="26" t="s">
        <v>263</v>
      </c>
      <c r="D48" s="26" t="s">
        <v>23</v>
      </c>
      <c r="E48" s="26" t="s">
        <v>107</v>
      </c>
      <c r="F48" s="26" t="s">
        <v>63</v>
      </c>
      <c r="G48" s="26" t="s">
        <v>64</v>
      </c>
      <c r="H48" s="26" t="s">
        <v>108</v>
      </c>
      <c r="I48" s="25">
        <v>9</v>
      </c>
      <c r="J48" s="27">
        <v>37879.67</v>
      </c>
      <c r="K48" s="27">
        <v>5</v>
      </c>
      <c r="L48" s="27">
        <v>35985.69</v>
      </c>
      <c r="M48" s="27">
        <v>323871.21000000002</v>
      </c>
      <c r="N48" s="27">
        <v>165761.64000000001</v>
      </c>
      <c r="O48" s="27">
        <v>158109.57</v>
      </c>
      <c r="P48" s="28">
        <v>48.82</v>
      </c>
      <c r="Q48" s="29">
        <v>45069</v>
      </c>
      <c r="R48" s="29">
        <v>45073</v>
      </c>
      <c r="S48" s="26" t="s">
        <v>76</v>
      </c>
      <c r="T48" s="26" t="s">
        <v>56</v>
      </c>
      <c r="U48" s="26" t="s">
        <v>77</v>
      </c>
      <c r="V48" s="26" t="s">
        <v>109</v>
      </c>
    </row>
    <row r="49" spans="1:22" ht="18" customHeight="1" x14ac:dyDescent="0.3">
      <c r="A49" s="3" t="s">
        <v>264</v>
      </c>
      <c r="B49" s="3" t="s">
        <v>265</v>
      </c>
      <c r="C49" s="4" t="s">
        <v>266</v>
      </c>
      <c r="D49" s="4" t="s">
        <v>24</v>
      </c>
      <c r="E49" s="4" t="s">
        <v>113</v>
      </c>
      <c r="F49" s="4" t="s">
        <v>73</v>
      </c>
      <c r="G49" s="4" t="s">
        <v>74</v>
      </c>
      <c r="H49" s="4" t="s">
        <v>267</v>
      </c>
      <c r="I49" s="3">
        <v>3</v>
      </c>
      <c r="J49" s="5">
        <v>2418.81</v>
      </c>
      <c r="K49" s="5">
        <v>5</v>
      </c>
      <c r="L49" s="5">
        <v>2297.87</v>
      </c>
      <c r="M49" s="5">
        <v>6893.61</v>
      </c>
      <c r="N49" s="5">
        <v>3569.07</v>
      </c>
      <c r="O49" s="5">
        <v>3324.54</v>
      </c>
      <c r="P49" s="24">
        <v>48.23</v>
      </c>
      <c r="Q49" s="6">
        <v>45334</v>
      </c>
      <c r="R49" s="6">
        <v>45342</v>
      </c>
      <c r="S49" s="4" t="s">
        <v>86</v>
      </c>
      <c r="T49" s="4" t="s">
        <v>56</v>
      </c>
      <c r="U49" s="4" t="s">
        <v>87</v>
      </c>
      <c r="V49" s="4" t="s">
        <v>115</v>
      </c>
    </row>
    <row r="50" spans="1:22" ht="18" customHeight="1" x14ac:dyDescent="0.3">
      <c r="A50" s="25" t="s">
        <v>268</v>
      </c>
      <c r="B50" s="25" t="s">
        <v>269</v>
      </c>
      <c r="C50" s="26" t="s">
        <v>270</v>
      </c>
      <c r="D50" s="26" t="s">
        <v>25</v>
      </c>
      <c r="E50" s="26" t="s">
        <v>107</v>
      </c>
      <c r="F50" s="26" t="s">
        <v>83</v>
      </c>
      <c r="G50" s="26" t="s">
        <v>84</v>
      </c>
      <c r="H50" s="26" t="s">
        <v>234</v>
      </c>
      <c r="I50" s="25">
        <v>5</v>
      </c>
      <c r="J50" s="27">
        <v>18936.71</v>
      </c>
      <c r="K50" s="27">
        <v>20</v>
      </c>
      <c r="L50" s="27">
        <v>15149.37</v>
      </c>
      <c r="M50" s="27">
        <v>75746.850000000006</v>
      </c>
      <c r="N50" s="27">
        <v>45593.41</v>
      </c>
      <c r="O50" s="27">
        <v>30153.439999999999</v>
      </c>
      <c r="P50" s="28">
        <v>39.81</v>
      </c>
      <c r="Q50" s="29">
        <v>44992</v>
      </c>
      <c r="R50" s="29">
        <v>44996</v>
      </c>
      <c r="S50" s="26" t="s">
        <v>55</v>
      </c>
      <c r="T50" s="26" t="s">
        <v>56</v>
      </c>
      <c r="U50" s="26" t="s">
        <v>57</v>
      </c>
      <c r="V50" s="26" t="s">
        <v>120</v>
      </c>
    </row>
    <row r="51" spans="1:22" ht="18" customHeight="1" x14ac:dyDescent="0.3">
      <c r="A51" s="3" t="s">
        <v>271</v>
      </c>
      <c r="B51" s="3" t="s">
        <v>272</v>
      </c>
      <c r="C51" s="4" t="s">
        <v>273</v>
      </c>
      <c r="D51" s="4" t="s">
        <v>9</v>
      </c>
      <c r="E51" s="4" t="s">
        <v>62</v>
      </c>
      <c r="F51" s="4" t="s">
        <v>93</v>
      </c>
      <c r="G51" s="4" t="s">
        <v>94</v>
      </c>
      <c r="H51" s="4" t="s">
        <v>219</v>
      </c>
      <c r="I51" s="3">
        <v>4</v>
      </c>
      <c r="J51" s="5">
        <v>38680.01</v>
      </c>
      <c r="K51" s="5">
        <v>0</v>
      </c>
      <c r="L51" s="5">
        <v>38680.01</v>
      </c>
      <c r="M51" s="5">
        <v>154720.04</v>
      </c>
      <c r="N51" s="5">
        <v>115602.01</v>
      </c>
      <c r="O51" s="5">
        <v>39118.03</v>
      </c>
      <c r="P51" s="24">
        <v>25.28</v>
      </c>
      <c r="Q51" s="6">
        <v>45593</v>
      </c>
      <c r="R51" s="6">
        <v>45599</v>
      </c>
      <c r="S51" s="4" t="s">
        <v>66</v>
      </c>
      <c r="T51" s="4" t="s">
        <v>56</v>
      </c>
      <c r="U51" s="4" t="s">
        <v>67</v>
      </c>
      <c r="V51" s="4" t="s">
        <v>125</v>
      </c>
    </row>
    <row r="52" spans="1:22" ht="18" customHeight="1" x14ac:dyDescent="0.3">
      <c r="A52" s="25" t="s">
        <v>274</v>
      </c>
      <c r="B52" s="25" t="s">
        <v>275</v>
      </c>
      <c r="C52" s="26" t="s">
        <v>276</v>
      </c>
      <c r="D52" s="26" t="s">
        <v>3</v>
      </c>
      <c r="E52" s="26" t="s">
        <v>3</v>
      </c>
      <c r="F52" s="26" t="s">
        <v>52</v>
      </c>
      <c r="G52" s="26" t="s">
        <v>53</v>
      </c>
      <c r="H52" s="26" t="s">
        <v>277</v>
      </c>
      <c r="I52" s="25">
        <v>9</v>
      </c>
      <c r="J52" s="27">
        <v>33027.629999999997</v>
      </c>
      <c r="K52" s="27">
        <v>25</v>
      </c>
      <c r="L52" s="27">
        <v>24770.720000000001</v>
      </c>
      <c r="M52" s="27">
        <v>222936.48</v>
      </c>
      <c r="N52" s="27">
        <v>106803.41</v>
      </c>
      <c r="O52" s="27">
        <v>116133.07</v>
      </c>
      <c r="P52" s="28">
        <v>52.09</v>
      </c>
      <c r="Q52" s="29">
        <v>45365</v>
      </c>
      <c r="R52" s="29">
        <v>45374</v>
      </c>
      <c r="S52" s="26" t="s">
        <v>76</v>
      </c>
      <c r="T52" s="26" t="s">
        <v>56</v>
      </c>
      <c r="U52" s="26" t="s">
        <v>77</v>
      </c>
      <c r="V52" s="26" t="s">
        <v>58</v>
      </c>
    </row>
    <row r="53" spans="1:22" ht="18" customHeight="1" x14ac:dyDescent="0.3">
      <c r="A53" s="3" t="s">
        <v>278</v>
      </c>
      <c r="B53" s="3" t="s">
        <v>279</v>
      </c>
      <c r="C53" s="4" t="s">
        <v>280</v>
      </c>
      <c r="D53" s="4" t="s">
        <v>4</v>
      </c>
      <c r="E53" s="4" t="s">
        <v>62</v>
      </c>
      <c r="F53" s="4" t="s">
        <v>63</v>
      </c>
      <c r="G53" s="4" t="s">
        <v>64</v>
      </c>
      <c r="H53" s="4" t="s">
        <v>152</v>
      </c>
      <c r="I53" s="3">
        <v>7</v>
      </c>
      <c r="J53" s="5">
        <v>44312.67</v>
      </c>
      <c r="K53" s="5">
        <v>5</v>
      </c>
      <c r="L53" s="5">
        <v>42097.04</v>
      </c>
      <c r="M53" s="5">
        <v>294679.28000000003</v>
      </c>
      <c r="N53" s="5">
        <v>177254.44</v>
      </c>
      <c r="O53" s="5">
        <v>117424.84</v>
      </c>
      <c r="P53" s="24">
        <v>39.85</v>
      </c>
      <c r="Q53" s="6">
        <v>45459</v>
      </c>
      <c r="R53" s="6">
        <v>45465</v>
      </c>
      <c r="S53" s="4" t="s">
        <v>86</v>
      </c>
      <c r="T53" s="4" t="s">
        <v>56</v>
      </c>
      <c r="U53" s="4" t="s">
        <v>87</v>
      </c>
      <c r="V53" s="4" t="s">
        <v>68</v>
      </c>
    </row>
    <row r="54" spans="1:22" ht="18" customHeight="1" x14ac:dyDescent="0.3">
      <c r="A54" s="25" t="s">
        <v>281</v>
      </c>
      <c r="B54" s="25" t="s">
        <v>282</v>
      </c>
      <c r="C54" s="26" t="s">
        <v>283</v>
      </c>
      <c r="D54" s="26" t="s">
        <v>5</v>
      </c>
      <c r="E54" s="26" t="s">
        <v>72</v>
      </c>
      <c r="F54" s="26" t="s">
        <v>73</v>
      </c>
      <c r="G54" s="26" t="s">
        <v>74</v>
      </c>
      <c r="H54" s="26" t="s">
        <v>114</v>
      </c>
      <c r="I54" s="25">
        <v>9</v>
      </c>
      <c r="J54" s="27">
        <v>13037.17</v>
      </c>
      <c r="K54" s="27">
        <v>25</v>
      </c>
      <c r="L54" s="27">
        <v>9777.8799999999992</v>
      </c>
      <c r="M54" s="27">
        <v>88000.92</v>
      </c>
      <c r="N54" s="27">
        <v>53625.42</v>
      </c>
      <c r="O54" s="27">
        <v>34375.5</v>
      </c>
      <c r="P54" s="28">
        <v>39.06</v>
      </c>
      <c r="Q54" s="29">
        <v>45105</v>
      </c>
      <c r="R54" s="29">
        <v>45115</v>
      </c>
      <c r="S54" s="26" t="s">
        <v>55</v>
      </c>
      <c r="T54" s="26" t="s">
        <v>56</v>
      </c>
      <c r="U54" s="26" t="s">
        <v>57</v>
      </c>
      <c r="V54" s="26" t="s">
        <v>78</v>
      </c>
    </row>
    <row r="55" spans="1:22" ht="18" customHeight="1" x14ac:dyDescent="0.3">
      <c r="A55" s="3" t="s">
        <v>284</v>
      </c>
      <c r="B55" s="3" t="s">
        <v>285</v>
      </c>
      <c r="C55" s="4" t="s">
        <v>286</v>
      </c>
      <c r="D55" s="4" t="s">
        <v>6</v>
      </c>
      <c r="E55" s="4" t="s">
        <v>82</v>
      </c>
      <c r="F55" s="4" t="s">
        <v>83</v>
      </c>
      <c r="G55" s="4" t="s">
        <v>84</v>
      </c>
      <c r="H55" s="4" t="s">
        <v>287</v>
      </c>
      <c r="I55" s="3">
        <v>7</v>
      </c>
      <c r="J55" s="5">
        <v>13824.51</v>
      </c>
      <c r="K55" s="5">
        <v>30</v>
      </c>
      <c r="L55" s="5">
        <v>9677.16</v>
      </c>
      <c r="M55" s="5">
        <v>67740.12</v>
      </c>
      <c r="N55" s="5">
        <v>40498.94</v>
      </c>
      <c r="O55" s="5">
        <v>27241.18</v>
      </c>
      <c r="P55" s="24">
        <v>40.21</v>
      </c>
      <c r="Q55" s="6">
        <v>45009</v>
      </c>
      <c r="R55" s="6">
        <v>45013</v>
      </c>
      <c r="S55" s="4" t="s">
        <v>66</v>
      </c>
      <c r="T55" s="4" t="s">
        <v>56</v>
      </c>
      <c r="U55" s="4" t="s">
        <v>67</v>
      </c>
      <c r="V55" s="4" t="s">
        <v>88</v>
      </c>
    </row>
    <row r="56" spans="1:22" ht="18" customHeight="1" x14ac:dyDescent="0.3">
      <c r="A56" s="25" t="s">
        <v>288</v>
      </c>
      <c r="B56" s="25" t="s">
        <v>289</v>
      </c>
      <c r="C56" s="26" t="s">
        <v>290</v>
      </c>
      <c r="D56" s="26" t="s">
        <v>7</v>
      </c>
      <c r="E56" s="26" t="s">
        <v>92</v>
      </c>
      <c r="F56" s="26" t="s">
        <v>93</v>
      </c>
      <c r="G56" s="26" t="s">
        <v>94</v>
      </c>
      <c r="H56" s="26" t="s">
        <v>291</v>
      </c>
      <c r="I56" s="25">
        <v>7</v>
      </c>
      <c r="J56" s="27">
        <v>19081.32</v>
      </c>
      <c r="K56" s="27">
        <v>25</v>
      </c>
      <c r="L56" s="27">
        <v>14310.99</v>
      </c>
      <c r="M56" s="27">
        <v>100176.93</v>
      </c>
      <c r="N56" s="27">
        <v>56228.09</v>
      </c>
      <c r="O56" s="27">
        <v>43948.84</v>
      </c>
      <c r="P56" s="28">
        <v>43.87</v>
      </c>
      <c r="Q56" s="29">
        <v>44979</v>
      </c>
      <c r="R56" s="29">
        <v>44982</v>
      </c>
      <c r="S56" s="26" t="s">
        <v>76</v>
      </c>
      <c r="T56" s="26" t="s">
        <v>56</v>
      </c>
      <c r="U56" s="26" t="s">
        <v>77</v>
      </c>
      <c r="V56" s="26" t="s">
        <v>96</v>
      </c>
    </row>
    <row r="57" spans="1:22" ht="18" customHeight="1" x14ac:dyDescent="0.3">
      <c r="A57" s="3" t="s">
        <v>292</v>
      </c>
      <c r="B57" s="3" t="s">
        <v>293</v>
      </c>
      <c r="C57" s="4" t="s">
        <v>159</v>
      </c>
      <c r="D57" s="4" t="s">
        <v>8</v>
      </c>
      <c r="E57" s="4" t="s">
        <v>100</v>
      </c>
      <c r="F57" s="4" t="s">
        <v>52</v>
      </c>
      <c r="G57" s="4" t="s">
        <v>53</v>
      </c>
      <c r="H57" s="4" t="s">
        <v>294</v>
      </c>
      <c r="I57" s="3">
        <v>6</v>
      </c>
      <c r="J57" s="5">
        <v>30975.37</v>
      </c>
      <c r="K57" s="5">
        <v>0</v>
      </c>
      <c r="L57" s="5">
        <v>30975.37</v>
      </c>
      <c r="M57" s="5">
        <v>185852.22</v>
      </c>
      <c r="N57" s="5">
        <v>100914.68</v>
      </c>
      <c r="O57" s="5">
        <v>84937.54</v>
      </c>
      <c r="P57" s="24">
        <v>45.7</v>
      </c>
      <c r="Q57" s="6">
        <v>45298</v>
      </c>
      <c r="R57" s="6">
        <v>45304</v>
      </c>
      <c r="S57" s="4" t="s">
        <v>86</v>
      </c>
      <c r="T57" s="4" t="s">
        <v>56</v>
      </c>
      <c r="U57" s="4" t="s">
        <v>87</v>
      </c>
      <c r="V57" s="4" t="s">
        <v>103</v>
      </c>
    </row>
    <row r="58" spans="1:22" ht="18" customHeight="1" x14ac:dyDescent="0.3">
      <c r="A58" s="25" t="s">
        <v>295</v>
      </c>
      <c r="B58" s="25" t="s">
        <v>296</v>
      </c>
      <c r="C58" s="26" t="s">
        <v>297</v>
      </c>
      <c r="D58" s="26" t="s">
        <v>23</v>
      </c>
      <c r="E58" s="26" t="s">
        <v>107</v>
      </c>
      <c r="F58" s="26" t="s">
        <v>63</v>
      </c>
      <c r="G58" s="26" t="s">
        <v>64</v>
      </c>
      <c r="H58" s="26" t="s">
        <v>207</v>
      </c>
      <c r="I58" s="25">
        <v>10</v>
      </c>
      <c r="J58" s="27">
        <v>2954.03</v>
      </c>
      <c r="K58" s="27">
        <v>30</v>
      </c>
      <c r="L58" s="27">
        <v>2067.8200000000002</v>
      </c>
      <c r="M58" s="27">
        <v>20678.2</v>
      </c>
      <c r="N58" s="27">
        <v>12501.18</v>
      </c>
      <c r="O58" s="27">
        <v>8177.02</v>
      </c>
      <c r="P58" s="28">
        <v>39.54</v>
      </c>
      <c r="Q58" s="29">
        <v>45153</v>
      </c>
      <c r="R58" s="29">
        <v>45157</v>
      </c>
      <c r="S58" s="26" t="s">
        <v>55</v>
      </c>
      <c r="T58" s="26" t="s">
        <v>56</v>
      </c>
      <c r="U58" s="26" t="s">
        <v>57</v>
      </c>
      <c r="V58" s="26" t="s">
        <v>109</v>
      </c>
    </row>
    <row r="59" spans="1:22" ht="18" customHeight="1" x14ac:dyDescent="0.3">
      <c r="A59" s="3" t="s">
        <v>298</v>
      </c>
      <c r="B59" s="3" t="s">
        <v>299</v>
      </c>
      <c r="C59" s="4" t="s">
        <v>300</v>
      </c>
      <c r="D59" s="4" t="s">
        <v>24</v>
      </c>
      <c r="E59" s="4" t="s">
        <v>113</v>
      </c>
      <c r="F59" s="4" t="s">
        <v>73</v>
      </c>
      <c r="G59" s="4" t="s">
        <v>74</v>
      </c>
      <c r="H59" s="4" t="s">
        <v>267</v>
      </c>
      <c r="I59" s="3">
        <v>9</v>
      </c>
      <c r="J59" s="5">
        <v>8301.44</v>
      </c>
      <c r="K59" s="5">
        <v>25</v>
      </c>
      <c r="L59" s="5">
        <v>6226.08</v>
      </c>
      <c r="M59" s="5">
        <v>56034.720000000001</v>
      </c>
      <c r="N59" s="5">
        <v>33895.58</v>
      </c>
      <c r="O59" s="5">
        <v>22139.14</v>
      </c>
      <c r="P59" s="24">
        <v>39.51</v>
      </c>
      <c r="Q59" s="6">
        <v>45447</v>
      </c>
      <c r="R59" s="6">
        <v>45452</v>
      </c>
      <c r="S59" s="4" t="s">
        <v>66</v>
      </c>
      <c r="T59" s="4" t="s">
        <v>56</v>
      </c>
      <c r="U59" s="4" t="s">
        <v>67</v>
      </c>
      <c r="V59" s="4" t="s">
        <v>115</v>
      </c>
    </row>
    <row r="60" spans="1:22" ht="18" customHeight="1" x14ac:dyDescent="0.3">
      <c r="A60" s="25" t="s">
        <v>301</v>
      </c>
      <c r="B60" s="25" t="s">
        <v>302</v>
      </c>
      <c r="C60" s="26" t="s">
        <v>303</v>
      </c>
      <c r="D60" s="26" t="s">
        <v>25</v>
      </c>
      <c r="E60" s="26" t="s">
        <v>107</v>
      </c>
      <c r="F60" s="26" t="s">
        <v>83</v>
      </c>
      <c r="G60" s="26" t="s">
        <v>84</v>
      </c>
      <c r="H60" s="26" t="s">
        <v>304</v>
      </c>
      <c r="I60" s="25">
        <v>4</v>
      </c>
      <c r="J60" s="27">
        <v>39628.28</v>
      </c>
      <c r="K60" s="27">
        <v>30</v>
      </c>
      <c r="L60" s="27">
        <v>27739.8</v>
      </c>
      <c r="M60" s="27">
        <v>110959.2</v>
      </c>
      <c r="N60" s="27">
        <v>50610.239999999998</v>
      </c>
      <c r="O60" s="27">
        <v>60348.959999999999</v>
      </c>
      <c r="P60" s="28">
        <v>54.39</v>
      </c>
      <c r="Q60" s="29">
        <v>45588</v>
      </c>
      <c r="R60" s="29">
        <v>45595</v>
      </c>
      <c r="S60" s="26" t="s">
        <v>76</v>
      </c>
      <c r="T60" s="26" t="s">
        <v>56</v>
      </c>
      <c r="U60" s="26" t="s">
        <v>77</v>
      </c>
      <c r="V60" s="26" t="s">
        <v>120</v>
      </c>
    </row>
    <row r="61" spans="1:22" ht="18" customHeight="1" x14ac:dyDescent="0.3">
      <c r="A61" s="3" t="s">
        <v>305</v>
      </c>
      <c r="B61" s="3" t="s">
        <v>306</v>
      </c>
      <c r="C61" s="4" t="s">
        <v>307</v>
      </c>
      <c r="D61" s="4" t="s">
        <v>9</v>
      </c>
      <c r="E61" s="4" t="s">
        <v>62</v>
      </c>
      <c r="F61" s="4" t="s">
        <v>93</v>
      </c>
      <c r="G61" s="4" t="s">
        <v>94</v>
      </c>
      <c r="H61" s="4" t="s">
        <v>308</v>
      </c>
      <c r="I61" s="3">
        <v>10</v>
      </c>
      <c r="J61" s="5">
        <v>9377.0499999999993</v>
      </c>
      <c r="K61" s="5">
        <v>15</v>
      </c>
      <c r="L61" s="5">
        <v>7970.49</v>
      </c>
      <c r="M61" s="5">
        <v>79704.899999999994</v>
      </c>
      <c r="N61" s="5">
        <v>57166.65</v>
      </c>
      <c r="O61" s="5">
        <v>22538.25</v>
      </c>
      <c r="P61" s="24">
        <v>28.28</v>
      </c>
      <c r="Q61" s="6">
        <v>45309</v>
      </c>
      <c r="R61" s="6">
        <v>45310</v>
      </c>
      <c r="S61" s="4" t="s">
        <v>86</v>
      </c>
      <c r="T61" s="4" t="s">
        <v>56</v>
      </c>
      <c r="U61" s="4" t="s">
        <v>87</v>
      </c>
      <c r="V61" s="4" t="s">
        <v>125</v>
      </c>
    </row>
    <row r="62" spans="1:22" ht="18" customHeight="1" x14ac:dyDescent="0.3">
      <c r="A62" s="25" t="s">
        <v>309</v>
      </c>
      <c r="B62" s="25" t="s">
        <v>310</v>
      </c>
      <c r="C62" s="26" t="s">
        <v>311</v>
      </c>
      <c r="D62" s="26" t="s">
        <v>3</v>
      </c>
      <c r="E62" s="26" t="s">
        <v>3</v>
      </c>
      <c r="F62" s="26" t="s">
        <v>52</v>
      </c>
      <c r="G62" s="26" t="s">
        <v>53</v>
      </c>
      <c r="H62" s="26" t="s">
        <v>312</v>
      </c>
      <c r="I62" s="25">
        <v>3</v>
      </c>
      <c r="J62" s="27">
        <v>41839</v>
      </c>
      <c r="K62" s="27">
        <v>0</v>
      </c>
      <c r="L62" s="27">
        <v>41839</v>
      </c>
      <c r="M62" s="27">
        <v>125517</v>
      </c>
      <c r="N62" s="27">
        <v>70072.06</v>
      </c>
      <c r="O62" s="27">
        <v>55444.94</v>
      </c>
      <c r="P62" s="28">
        <v>44.17</v>
      </c>
      <c r="Q62" s="29">
        <v>45603</v>
      </c>
      <c r="R62" s="29">
        <v>45606</v>
      </c>
      <c r="S62" s="26" t="s">
        <v>55</v>
      </c>
      <c r="T62" s="26" t="s">
        <v>56</v>
      </c>
      <c r="U62" s="26" t="s">
        <v>57</v>
      </c>
      <c r="V62" s="26" t="s">
        <v>58</v>
      </c>
    </row>
    <row r="63" spans="1:22" ht="18" customHeight="1" x14ac:dyDescent="0.3">
      <c r="A63" s="3" t="s">
        <v>313</v>
      </c>
      <c r="B63" s="3" t="s">
        <v>314</v>
      </c>
      <c r="C63" s="4" t="s">
        <v>315</v>
      </c>
      <c r="D63" s="4" t="s">
        <v>4</v>
      </c>
      <c r="E63" s="4" t="s">
        <v>62</v>
      </c>
      <c r="F63" s="4" t="s">
        <v>63</v>
      </c>
      <c r="G63" s="4" t="s">
        <v>64</v>
      </c>
      <c r="H63" s="4" t="s">
        <v>171</v>
      </c>
      <c r="I63" s="3">
        <v>1</v>
      </c>
      <c r="J63" s="5">
        <v>37806.68</v>
      </c>
      <c r="K63" s="5">
        <v>10</v>
      </c>
      <c r="L63" s="5">
        <v>34026.01</v>
      </c>
      <c r="M63" s="5">
        <v>34026.01</v>
      </c>
      <c r="N63" s="5">
        <v>22464.58</v>
      </c>
      <c r="O63" s="5">
        <v>11561.43</v>
      </c>
      <c r="P63" s="24">
        <v>33.979999999999997</v>
      </c>
      <c r="Q63" s="6">
        <v>45069</v>
      </c>
      <c r="R63" s="6">
        <v>45074</v>
      </c>
      <c r="S63" s="4" t="s">
        <v>66</v>
      </c>
      <c r="T63" s="4" t="s">
        <v>56</v>
      </c>
      <c r="U63" s="4" t="s">
        <v>67</v>
      </c>
      <c r="V63" s="4" t="s">
        <v>68</v>
      </c>
    </row>
    <row r="64" spans="1:22" ht="18" customHeight="1" x14ac:dyDescent="0.3">
      <c r="A64" s="25" t="s">
        <v>316</v>
      </c>
      <c r="B64" s="25" t="s">
        <v>317</v>
      </c>
      <c r="C64" s="26" t="s">
        <v>318</v>
      </c>
      <c r="D64" s="26" t="s">
        <v>5</v>
      </c>
      <c r="E64" s="26" t="s">
        <v>72</v>
      </c>
      <c r="F64" s="26" t="s">
        <v>73</v>
      </c>
      <c r="G64" s="26" t="s">
        <v>74</v>
      </c>
      <c r="H64" s="26" t="s">
        <v>319</v>
      </c>
      <c r="I64" s="25">
        <v>8</v>
      </c>
      <c r="J64" s="27">
        <v>21563.48</v>
      </c>
      <c r="K64" s="27">
        <v>25</v>
      </c>
      <c r="L64" s="27">
        <v>16172.61</v>
      </c>
      <c r="M64" s="27">
        <v>129380.88</v>
      </c>
      <c r="N64" s="27">
        <v>64452.78</v>
      </c>
      <c r="O64" s="27">
        <v>64928.1</v>
      </c>
      <c r="P64" s="28">
        <v>50.18</v>
      </c>
      <c r="Q64" s="29">
        <v>45438</v>
      </c>
      <c r="R64" s="29">
        <v>45439</v>
      </c>
      <c r="S64" s="26" t="s">
        <v>76</v>
      </c>
      <c r="T64" s="26" t="s">
        <v>56</v>
      </c>
      <c r="U64" s="26" t="s">
        <v>77</v>
      </c>
      <c r="V64" s="26" t="s">
        <v>78</v>
      </c>
    </row>
    <row r="65" spans="1:22" ht="18" customHeight="1" x14ac:dyDescent="0.3">
      <c r="A65" s="3" t="s">
        <v>320</v>
      </c>
      <c r="B65" s="3" t="s">
        <v>321</v>
      </c>
      <c r="C65" s="4" t="s">
        <v>322</v>
      </c>
      <c r="D65" s="4" t="s">
        <v>6</v>
      </c>
      <c r="E65" s="4" t="s">
        <v>82</v>
      </c>
      <c r="F65" s="4" t="s">
        <v>83</v>
      </c>
      <c r="G65" s="4" t="s">
        <v>84</v>
      </c>
      <c r="H65" s="4" t="s">
        <v>253</v>
      </c>
      <c r="I65" s="3">
        <v>6</v>
      </c>
      <c r="J65" s="5">
        <v>44147.1</v>
      </c>
      <c r="K65" s="5">
        <v>15</v>
      </c>
      <c r="L65" s="5">
        <v>37525.03</v>
      </c>
      <c r="M65" s="5">
        <v>225150.18</v>
      </c>
      <c r="N65" s="5">
        <v>106738.91</v>
      </c>
      <c r="O65" s="5">
        <v>118411.27</v>
      </c>
      <c r="P65" s="24">
        <v>52.59</v>
      </c>
      <c r="Q65" s="6">
        <v>45136</v>
      </c>
      <c r="R65" s="6">
        <v>45146</v>
      </c>
      <c r="S65" s="4" t="s">
        <v>86</v>
      </c>
      <c r="T65" s="4" t="s">
        <v>56</v>
      </c>
      <c r="U65" s="4" t="s">
        <v>87</v>
      </c>
      <c r="V65" s="4" t="s">
        <v>88</v>
      </c>
    </row>
    <row r="66" spans="1:22" ht="18" customHeight="1" x14ac:dyDescent="0.3">
      <c r="A66" s="25" t="s">
        <v>323</v>
      </c>
      <c r="B66" s="25" t="s">
        <v>324</v>
      </c>
      <c r="C66" s="26" t="s">
        <v>325</v>
      </c>
      <c r="D66" s="26" t="s">
        <v>7</v>
      </c>
      <c r="E66" s="26" t="s">
        <v>92</v>
      </c>
      <c r="F66" s="26" t="s">
        <v>93</v>
      </c>
      <c r="G66" s="26" t="s">
        <v>94</v>
      </c>
      <c r="H66" s="26" t="s">
        <v>164</v>
      </c>
      <c r="I66" s="25">
        <v>8</v>
      </c>
      <c r="J66" s="27">
        <v>37434.78</v>
      </c>
      <c r="K66" s="27">
        <v>0</v>
      </c>
      <c r="L66" s="27">
        <v>37434.78</v>
      </c>
      <c r="M66" s="27">
        <v>299478.24</v>
      </c>
      <c r="N66" s="27">
        <v>200207.91</v>
      </c>
      <c r="O66" s="27">
        <v>99270.33</v>
      </c>
      <c r="P66" s="28">
        <v>33.15</v>
      </c>
      <c r="Q66" s="29">
        <v>45104</v>
      </c>
      <c r="R66" s="29">
        <v>45110</v>
      </c>
      <c r="S66" s="26" t="s">
        <v>55</v>
      </c>
      <c r="T66" s="26" t="s">
        <v>235</v>
      </c>
      <c r="U66" s="26" t="s">
        <v>57</v>
      </c>
      <c r="V66" s="26" t="s">
        <v>96</v>
      </c>
    </row>
    <row r="67" spans="1:22" ht="18" customHeight="1" x14ac:dyDescent="0.3">
      <c r="A67" s="3" t="s">
        <v>326</v>
      </c>
      <c r="B67" s="3" t="s">
        <v>327</v>
      </c>
      <c r="C67" s="4" t="s">
        <v>328</v>
      </c>
      <c r="D67" s="4" t="s">
        <v>8</v>
      </c>
      <c r="E67" s="4" t="s">
        <v>100</v>
      </c>
      <c r="F67" s="4" t="s">
        <v>52</v>
      </c>
      <c r="G67" s="4" t="s">
        <v>53</v>
      </c>
      <c r="H67" s="4" t="s">
        <v>277</v>
      </c>
      <c r="I67" s="3">
        <v>1</v>
      </c>
      <c r="J67" s="5">
        <v>8676.6</v>
      </c>
      <c r="K67" s="5">
        <v>25</v>
      </c>
      <c r="L67" s="5">
        <v>6507.45</v>
      </c>
      <c r="M67" s="5">
        <v>6507.45</v>
      </c>
      <c r="N67" s="5">
        <v>3196.8</v>
      </c>
      <c r="O67" s="5">
        <v>3310.65</v>
      </c>
      <c r="P67" s="24">
        <v>50.87</v>
      </c>
      <c r="Q67" s="6">
        <v>45467</v>
      </c>
      <c r="R67" s="6">
        <v>45474</v>
      </c>
      <c r="S67" s="4" t="s">
        <v>66</v>
      </c>
      <c r="T67" s="4" t="s">
        <v>56</v>
      </c>
      <c r="U67" s="4" t="s">
        <v>67</v>
      </c>
      <c r="V67" s="4" t="s">
        <v>103</v>
      </c>
    </row>
    <row r="68" spans="1:22" ht="18" customHeight="1" x14ac:dyDescent="0.3">
      <c r="A68" s="25" t="s">
        <v>329</v>
      </c>
      <c r="B68" s="25" t="s">
        <v>330</v>
      </c>
      <c r="C68" s="26" t="s">
        <v>331</v>
      </c>
      <c r="D68" s="26" t="s">
        <v>23</v>
      </c>
      <c r="E68" s="26" t="s">
        <v>107</v>
      </c>
      <c r="F68" s="26" t="s">
        <v>63</v>
      </c>
      <c r="G68" s="26" t="s">
        <v>64</v>
      </c>
      <c r="H68" s="26" t="s">
        <v>332</v>
      </c>
      <c r="I68" s="25">
        <v>10</v>
      </c>
      <c r="J68" s="27">
        <v>3302.76</v>
      </c>
      <c r="K68" s="27">
        <v>30</v>
      </c>
      <c r="L68" s="27">
        <v>2311.9299999999998</v>
      </c>
      <c r="M68" s="27">
        <v>23119.3</v>
      </c>
      <c r="N68" s="27">
        <v>13944.01</v>
      </c>
      <c r="O68" s="27">
        <v>9175.2900000000009</v>
      </c>
      <c r="P68" s="28">
        <v>39.69</v>
      </c>
      <c r="Q68" s="29">
        <v>45091</v>
      </c>
      <c r="R68" s="29">
        <v>45099</v>
      </c>
      <c r="S68" s="26" t="s">
        <v>76</v>
      </c>
      <c r="T68" s="26" t="s">
        <v>56</v>
      </c>
      <c r="U68" s="26" t="s">
        <v>77</v>
      </c>
      <c r="V68" s="26" t="s">
        <v>109</v>
      </c>
    </row>
    <row r="69" spans="1:22" ht="18" customHeight="1" x14ac:dyDescent="0.3">
      <c r="A69" s="3" t="s">
        <v>333</v>
      </c>
      <c r="B69" s="3" t="s">
        <v>334</v>
      </c>
      <c r="C69" s="4" t="s">
        <v>335</v>
      </c>
      <c r="D69" s="4" t="s">
        <v>24</v>
      </c>
      <c r="E69" s="4" t="s">
        <v>113</v>
      </c>
      <c r="F69" s="4" t="s">
        <v>73</v>
      </c>
      <c r="G69" s="4" t="s">
        <v>74</v>
      </c>
      <c r="H69" s="4" t="s">
        <v>137</v>
      </c>
      <c r="I69" s="3">
        <v>9</v>
      </c>
      <c r="J69" s="5">
        <v>24866.68</v>
      </c>
      <c r="K69" s="5">
        <v>15</v>
      </c>
      <c r="L69" s="5">
        <v>21136.68</v>
      </c>
      <c r="M69" s="5">
        <v>190230.12</v>
      </c>
      <c r="N69" s="5">
        <v>140722.38</v>
      </c>
      <c r="O69" s="5">
        <v>49507.74</v>
      </c>
      <c r="P69" s="24">
        <v>26.03</v>
      </c>
      <c r="Q69" s="6">
        <v>44999</v>
      </c>
      <c r="R69" s="6">
        <v>45007</v>
      </c>
      <c r="S69" s="4" t="s">
        <v>86</v>
      </c>
      <c r="T69" s="4" t="s">
        <v>56</v>
      </c>
      <c r="U69" s="4" t="s">
        <v>87</v>
      </c>
      <c r="V69" s="4" t="s">
        <v>115</v>
      </c>
    </row>
    <row r="70" spans="1:22" ht="18" customHeight="1" x14ac:dyDescent="0.3">
      <c r="A70" s="25" t="s">
        <v>336</v>
      </c>
      <c r="B70" s="25" t="s">
        <v>337</v>
      </c>
      <c r="C70" s="26" t="s">
        <v>338</v>
      </c>
      <c r="D70" s="26" t="s">
        <v>25</v>
      </c>
      <c r="E70" s="26" t="s">
        <v>107</v>
      </c>
      <c r="F70" s="26" t="s">
        <v>83</v>
      </c>
      <c r="G70" s="26" t="s">
        <v>84</v>
      </c>
      <c r="H70" s="26" t="s">
        <v>339</v>
      </c>
      <c r="I70" s="25">
        <v>7</v>
      </c>
      <c r="J70" s="27">
        <v>18627.63</v>
      </c>
      <c r="K70" s="27">
        <v>20</v>
      </c>
      <c r="L70" s="27">
        <v>14902.1</v>
      </c>
      <c r="M70" s="27">
        <v>104314.7</v>
      </c>
      <c r="N70" s="27">
        <v>68936.509999999995</v>
      </c>
      <c r="O70" s="27">
        <v>35378.19</v>
      </c>
      <c r="P70" s="28">
        <v>33.909999999999997</v>
      </c>
      <c r="Q70" s="29">
        <v>45319</v>
      </c>
      <c r="R70" s="29">
        <v>45323</v>
      </c>
      <c r="S70" s="26" t="s">
        <v>55</v>
      </c>
      <c r="T70" s="26" t="s">
        <v>56</v>
      </c>
      <c r="U70" s="26" t="s">
        <v>57</v>
      </c>
      <c r="V70" s="26" t="s">
        <v>120</v>
      </c>
    </row>
    <row r="71" spans="1:22" ht="18" customHeight="1" x14ac:dyDescent="0.3">
      <c r="A71" s="3" t="s">
        <v>340</v>
      </c>
      <c r="B71" s="3" t="s">
        <v>341</v>
      </c>
      <c r="C71" s="4" t="s">
        <v>276</v>
      </c>
      <c r="D71" s="4" t="s">
        <v>9</v>
      </c>
      <c r="E71" s="4" t="s">
        <v>62</v>
      </c>
      <c r="F71" s="4" t="s">
        <v>93</v>
      </c>
      <c r="G71" s="4" t="s">
        <v>94</v>
      </c>
      <c r="H71" s="4" t="s">
        <v>95</v>
      </c>
      <c r="I71" s="3">
        <v>1</v>
      </c>
      <c r="J71" s="5">
        <v>49141.99</v>
      </c>
      <c r="K71" s="5">
        <v>15</v>
      </c>
      <c r="L71" s="5">
        <v>41770.69</v>
      </c>
      <c r="M71" s="5">
        <v>41770.69</v>
      </c>
      <c r="N71" s="5">
        <v>23300.79</v>
      </c>
      <c r="O71" s="5">
        <v>18469.900000000001</v>
      </c>
      <c r="P71" s="24">
        <v>44.22</v>
      </c>
      <c r="Q71" s="6">
        <v>44938</v>
      </c>
      <c r="R71" s="6">
        <v>44939</v>
      </c>
      <c r="S71" s="4" t="s">
        <v>66</v>
      </c>
      <c r="T71" s="4" t="s">
        <v>102</v>
      </c>
      <c r="U71" s="4" t="s">
        <v>67</v>
      </c>
      <c r="V71" s="4" t="s">
        <v>125</v>
      </c>
    </row>
    <row r="72" spans="1:22" ht="18" customHeight="1" x14ac:dyDescent="0.3">
      <c r="A72" s="25" t="s">
        <v>342</v>
      </c>
      <c r="B72" s="25" t="s">
        <v>343</v>
      </c>
      <c r="C72" s="26" t="s">
        <v>344</v>
      </c>
      <c r="D72" s="26" t="s">
        <v>3</v>
      </c>
      <c r="E72" s="26" t="s">
        <v>3</v>
      </c>
      <c r="F72" s="26" t="s">
        <v>52</v>
      </c>
      <c r="G72" s="26" t="s">
        <v>53</v>
      </c>
      <c r="H72" s="26" t="s">
        <v>149</v>
      </c>
      <c r="I72" s="25">
        <v>7</v>
      </c>
      <c r="J72" s="27">
        <v>18873.09</v>
      </c>
      <c r="K72" s="27">
        <v>15</v>
      </c>
      <c r="L72" s="27">
        <v>16042.13</v>
      </c>
      <c r="M72" s="27">
        <v>112294.91</v>
      </c>
      <c r="N72" s="27">
        <v>59901.65</v>
      </c>
      <c r="O72" s="27">
        <v>52393.26</v>
      </c>
      <c r="P72" s="28">
        <v>46.66</v>
      </c>
      <c r="Q72" s="29">
        <v>45280</v>
      </c>
      <c r="R72" s="29">
        <v>45284</v>
      </c>
      <c r="S72" s="26" t="s">
        <v>76</v>
      </c>
      <c r="T72" s="26" t="s">
        <v>56</v>
      </c>
      <c r="U72" s="26" t="s">
        <v>77</v>
      </c>
      <c r="V72" s="26" t="s">
        <v>58</v>
      </c>
    </row>
    <row r="73" spans="1:22" ht="18" customHeight="1" x14ac:dyDescent="0.3">
      <c r="A73" s="3" t="s">
        <v>345</v>
      </c>
      <c r="B73" s="3" t="s">
        <v>205</v>
      </c>
      <c r="C73" s="4" t="s">
        <v>346</v>
      </c>
      <c r="D73" s="4" t="s">
        <v>4</v>
      </c>
      <c r="E73" s="4" t="s">
        <v>62</v>
      </c>
      <c r="F73" s="4" t="s">
        <v>63</v>
      </c>
      <c r="G73" s="4" t="s">
        <v>64</v>
      </c>
      <c r="H73" s="4" t="s">
        <v>347</v>
      </c>
      <c r="I73" s="3">
        <v>6</v>
      </c>
      <c r="J73" s="5">
        <v>3530.31</v>
      </c>
      <c r="K73" s="5">
        <v>25</v>
      </c>
      <c r="L73" s="5">
        <v>2647.73</v>
      </c>
      <c r="M73" s="5">
        <v>15886.38</v>
      </c>
      <c r="N73" s="5">
        <v>9054.4599999999991</v>
      </c>
      <c r="O73" s="5">
        <v>6831.92</v>
      </c>
      <c r="P73" s="24">
        <v>43</v>
      </c>
      <c r="Q73" s="6">
        <v>45314</v>
      </c>
      <c r="R73" s="6">
        <v>45316</v>
      </c>
      <c r="S73" s="4" t="s">
        <v>86</v>
      </c>
      <c r="T73" s="4" t="s">
        <v>56</v>
      </c>
      <c r="U73" s="4" t="s">
        <v>87</v>
      </c>
      <c r="V73" s="4" t="s">
        <v>68</v>
      </c>
    </row>
    <row r="74" spans="1:22" ht="18" customHeight="1" x14ac:dyDescent="0.3">
      <c r="A74" s="25" t="s">
        <v>348</v>
      </c>
      <c r="B74" s="25" t="s">
        <v>349</v>
      </c>
      <c r="C74" s="26" t="s">
        <v>350</v>
      </c>
      <c r="D74" s="26" t="s">
        <v>5</v>
      </c>
      <c r="E74" s="26" t="s">
        <v>72</v>
      </c>
      <c r="F74" s="26" t="s">
        <v>73</v>
      </c>
      <c r="G74" s="26" t="s">
        <v>74</v>
      </c>
      <c r="H74" s="26" t="s">
        <v>351</v>
      </c>
      <c r="I74" s="25">
        <v>5</v>
      </c>
      <c r="J74" s="27">
        <v>38911.379999999997</v>
      </c>
      <c r="K74" s="27">
        <v>15</v>
      </c>
      <c r="L74" s="27">
        <v>33074.67</v>
      </c>
      <c r="M74" s="27">
        <v>165373.35</v>
      </c>
      <c r="N74" s="27">
        <v>123499.25</v>
      </c>
      <c r="O74" s="27">
        <v>41874.1</v>
      </c>
      <c r="P74" s="28">
        <v>25.32</v>
      </c>
      <c r="Q74" s="29">
        <v>45100</v>
      </c>
      <c r="R74" s="29">
        <v>45101</v>
      </c>
      <c r="S74" s="26" t="s">
        <v>55</v>
      </c>
      <c r="T74" s="26" t="s">
        <v>56</v>
      </c>
      <c r="U74" s="26" t="s">
        <v>57</v>
      </c>
      <c r="V74" s="26" t="s">
        <v>78</v>
      </c>
    </row>
    <row r="75" spans="1:22" ht="18" customHeight="1" x14ac:dyDescent="0.3">
      <c r="A75" s="3" t="s">
        <v>352</v>
      </c>
      <c r="B75" s="3" t="s">
        <v>353</v>
      </c>
      <c r="C75" s="4" t="s">
        <v>354</v>
      </c>
      <c r="D75" s="4" t="s">
        <v>6</v>
      </c>
      <c r="E75" s="4" t="s">
        <v>82</v>
      </c>
      <c r="F75" s="4" t="s">
        <v>83</v>
      </c>
      <c r="G75" s="4" t="s">
        <v>84</v>
      </c>
      <c r="H75" s="4" t="s">
        <v>179</v>
      </c>
      <c r="I75" s="3">
        <v>5</v>
      </c>
      <c r="J75" s="5">
        <v>45813.34</v>
      </c>
      <c r="K75" s="5">
        <v>5</v>
      </c>
      <c r="L75" s="5">
        <v>43522.67</v>
      </c>
      <c r="M75" s="5">
        <v>217613.35</v>
      </c>
      <c r="N75" s="5">
        <v>108647.93</v>
      </c>
      <c r="O75" s="5">
        <v>108965.42</v>
      </c>
      <c r="P75" s="24">
        <v>50.07</v>
      </c>
      <c r="Q75" s="6">
        <v>45365</v>
      </c>
      <c r="R75" s="6">
        <v>45375</v>
      </c>
      <c r="S75" s="4" t="s">
        <v>66</v>
      </c>
      <c r="T75" s="4" t="s">
        <v>56</v>
      </c>
      <c r="U75" s="4" t="s">
        <v>67</v>
      </c>
      <c r="V75" s="4" t="s">
        <v>88</v>
      </c>
    </row>
    <row r="76" spans="1:22" ht="18" customHeight="1" x14ac:dyDescent="0.3">
      <c r="A76" s="25" t="s">
        <v>355</v>
      </c>
      <c r="B76" s="25" t="s">
        <v>356</v>
      </c>
      <c r="C76" s="26" t="s">
        <v>357</v>
      </c>
      <c r="D76" s="26" t="s">
        <v>7</v>
      </c>
      <c r="E76" s="26" t="s">
        <v>92</v>
      </c>
      <c r="F76" s="26" t="s">
        <v>93</v>
      </c>
      <c r="G76" s="26" t="s">
        <v>94</v>
      </c>
      <c r="H76" s="26" t="s">
        <v>358</v>
      </c>
      <c r="I76" s="25">
        <v>8</v>
      </c>
      <c r="J76" s="27">
        <v>36788.58</v>
      </c>
      <c r="K76" s="27">
        <v>0</v>
      </c>
      <c r="L76" s="27">
        <v>36788.58</v>
      </c>
      <c r="M76" s="27">
        <v>294308.64</v>
      </c>
      <c r="N76" s="27">
        <v>168849.44</v>
      </c>
      <c r="O76" s="27">
        <v>125459.2</v>
      </c>
      <c r="P76" s="28">
        <v>42.63</v>
      </c>
      <c r="Q76" s="29">
        <v>45074</v>
      </c>
      <c r="R76" s="29">
        <v>45080</v>
      </c>
      <c r="S76" s="26" t="s">
        <v>76</v>
      </c>
      <c r="T76" s="26" t="s">
        <v>56</v>
      </c>
      <c r="U76" s="26" t="s">
        <v>77</v>
      </c>
      <c r="V76" s="26" t="s">
        <v>96</v>
      </c>
    </row>
    <row r="77" spans="1:22" ht="18" customHeight="1" x14ac:dyDescent="0.3">
      <c r="A77" s="3" t="s">
        <v>359</v>
      </c>
      <c r="B77" s="3" t="s">
        <v>360</v>
      </c>
      <c r="C77" s="4" t="s">
        <v>361</v>
      </c>
      <c r="D77" s="4" t="s">
        <v>8</v>
      </c>
      <c r="E77" s="4" t="s">
        <v>100</v>
      </c>
      <c r="F77" s="4" t="s">
        <v>52</v>
      </c>
      <c r="G77" s="4" t="s">
        <v>53</v>
      </c>
      <c r="H77" s="4" t="s">
        <v>187</v>
      </c>
      <c r="I77" s="3">
        <v>4</v>
      </c>
      <c r="J77" s="5">
        <v>16854.59</v>
      </c>
      <c r="K77" s="5">
        <v>20</v>
      </c>
      <c r="L77" s="5">
        <v>13483.67</v>
      </c>
      <c r="M77" s="5">
        <v>53934.68</v>
      </c>
      <c r="N77" s="5">
        <v>27200.98</v>
      </c>
      <c r="O77" s="5">
        <v>26733.7</v>
      </c>
      <c r="P77" s="24">
        <v>49.57</v>
      </c>
      <c r="Q77" s="6">
        <v>44933</v>
      </c>
      <c r="R77" s="6">
        <v>44940</v>
      </c>
      <c r="S77" s="4" t="s">
        <v>86</v>
      </c>
      <c r="T77" s="4" t="s">
        <v>102</v>
      </c>
      <c r="U77" s="4" t="s">
        <v>87</v>
      </c>
      <c r="V77" s="4" t="s">
        <v>103</v>
      </c>
    </row>
    <row r="78" spans="1:22" ht="18" customHeight="1" x14ac:dyDescent="0.3">
      <c r="A78" s="25" t="s">
        <v>362</v>
      </c>
      <c r="B78" s="25" t="s">
        <v>363</v>
      </c>
      <c r="C78" s="26" t="s">
        <v>364</v>
      </c>
      <c r="D78" s="26" t="s">
        <v>23</v>
      </c>
      <c r="E78" s="26" t="s">
        <v>107</v>
      </c>
      <c r="F78" s="26" t="s">
        <v>63</v>
      </c>
      <c r="G78" s="26" t="s">
        <v>64</v>
      </c>
      <c r="H78" s="26" t="s">
        <v>152</v>
      </c>
      <c r="I78" s="25">
        <v>4</v>
      </c>
      <c r="J78" s="27">
        <v>7096.04</v>
      </c>
      <c r="K78" s="27">
        <v>20</v>
      </c>
      <c r="L78" s="27">
        <v>5676.83</v>
      </c>
      <c r="M78" s="27">
        <v>22707.32</v>
      </c>
      <c r="N78" s="27">
        <v>13852.31</v>
      </c>
      <c r="O78" s="27">
        <v>8855.01</v>
      </c>
      <c r="P78" s="28">
        <v>39</v>
      </c>
      <c r="Q78" s="29">
        <v>45157</v>
      </c>
      <c r="R78" s="29">
        <v>45164</v>
      </c>
      <c r="S78" s="26" t="s">
        <v>55</v>
      </c>
      <c r="T78" s="26" t="s">
        <v>56</v>
      </c>
      <c r="U78" s="26" t="s">
        <v>57</v>
      </c>
      <c r="V78" s="26" t="s">
        <v>109</v>
      </c>
    </row>
    <row r="79" spans="1:22" ht="18" customHeight="1" x14ac:dyDescent="0.3">
      <c r="A79" s="3" t="s">
        <v>365</v>
      </c>
      <c r="B79" s="3" t="s">
        <v>366</v>
      </c>
      <c r="C79" s="4" t="s">
        <v>367</v>
      </c>
      <c r="D79" s="4" t="s">
        <v>24</v>
      </c>
      <c r="E79" s="4" t="s">
        <v>113</v>
      </c>
      <c r="F79" s="4" t="s">
        <v>73</v>
      </c>
      <c r="G79" s="4" t="s">
        <v>74</v>
      </c>
      <c r="H79" s="4" t="s">
        <v>211</v>
      </c>
      <c r="I79" s="3">
        <v>6</v>
      </c>
      <c r="J79" s="5">
        <v>38015.78</v>
      </c>
      <c r="K79" s="5">
        <v>0</v>
      </c>
      <c r="L79" s="5">
        <v>38015.78</v>
      </c>
      <c r="M79" s="5">
        <v>228094.68</v>
      </c>
      <c r="N79" s="5">
        <v>130967.79</v>
      </c>
      <c r="O79" s="5">
        <v>97126.89</v>
      </c>
      <c r="P79" s="24">
        <v>42.58</v>
      </c>
      <c r="Q79" s="6">
        <v>45176</v>
      </c>
      <c r="R79" s="6">
        <v>45177</v>
      </c>
      <c r="S79" s="4" t="s">
        <v>66</v>
      </c>
      <c r="T79" s="4" t="s">
        <v>56</v>
      </c>
      <c r="U79" s="4" t="s">
        <v>67</v>
      </c>
      <c r="V79" s="4" t="s">
        <v>115</v>
      </c>
    </row>
    <row r="80" spans="1:22" ht="18" customHeight="1" x14ac:dyDescent="0.3">
      <c r="A80" s="25" t="s">
        <v>368</v>
      </c>
      <c r="B80" s="25" t="s">
        <v>369</v>
      </c>
      <c r="C80" s="26" t="s">
        <v>370</v>
      </c>
      <c r="D80" s="26" t="s">
        <v>25</v>
      </c>
      <c r="E80" s="26" t="s">
        <v>107</v>
      </c>
      <c r="F80" s="26" t="s">
        <v>83</v>
      </c>
      <c r="G80" s="26" t="s">
        <v>84</v>
      </c>
      <c r="H80" s="26" t="s">
        <v>141</v>
      </c>
      <c r="I80" s="25">
        <v>2</v>
      </c>
      <c r="J80" s="27">
        <v>23317.9</v>
      </c>
      <c r="K80" s="27">
        <v>10</v>
      </c>
      <c r="L80" s="27">
        <v>20986.11</v>
      </c>
      <c r="M80" s="27">
        <v>41972.22</v>
      </c>
      <c r="N80" s="27">
        <v>20414.849999999999</v>
      </c>
      <c r="O80" s="27">
        <v>21557.37</v>
      </c>
      <c r="P80" s="28">
        <v>51.36</v>
      </c>
      <c r="Q80" s="29">
        <v>45525</v>
      </c>
      <c r="R80" s="29">
        <v>45533</v>
      </c>
      <c r="S80" s="26" t="s">
        <v>76</v>
      </c>
      <c r="T80" s="26" t="s">
        <v>56</v>
      </c>
      <c r="U80" s="26" t="s">
        <v>77</v>
      </c>
      <c r="V80" s="26" t="s">
        <v>120</v>
      </c>
    </row>
    <row r="81" spans="1:22" ht="18" customHeight="1" x14ac:dyDescent="0.3">
      <c r="A81" s="3" t="s">
        <v>371</v>
      </c>
      <c r="B81" s="3" t="s">
        <v>372</v>
      </c>
      <c r="C81" s="4" t="s">
        <v>373</v>
      </c>
      <c r="D81" s="4" t="s">
        <v>9</v>
      </c>
      <c r="E81" s="4" t="s">
        <v>62</v>
      </c>
      <c r="F81" s="4" t="s">
        <v>93</v>
      </c>
      <c r="G81" s="4" t="s">
        <v>94</v>
      </c>
      <c r="H81" s="4" t="s">
        <v>374</v>
      </c>
      <c r="I81" s="3">
        <v>4</v>
      </c>
      <c r="J81" s="5">
        <v>34613.17</v>
      </c>
      <c r="K81" s="5">
        <v>25</v>
      </c>
      <c r="L81" s="5">
        <v>25959.88</v>
      </c>
      <c r="M81" s="5">
        <v>103839.52</v>
      </c>
      <c r="N81" s="5">
        <v>58252.27</v>
      </c>
      <c r="O81" s="5">
        <v>45587.25</v>
      </c>
      <c r="P81" s="24">
        <v>43.9</v>
      </c>
      <c r="Q81" s="6">
        <v>45571</v>
      </c>
      <c r="R81" s="6">
        <v>45575</v>
      </c>
      <c r="S81" s="4" t="s">
        <v>86</v>
      </c>
      <c r="T81" s="4" t="s">
        <v>56</v>
      </c>
      <c r="U81" s="4" t="s">
        <v>87</v>
      </c>
      <c r="V81" s="4" t="s">
        <v>125</v>
      </c>
    </row>
    <row r="82" spans="1:22" ht="18" customHeight="1" x14ac:dyDescent="0.3">
      <c r="A82" s="25" t="s">
        <v>375</v>
      </c>
      <c r="B82" s="25" t="s">
        <v>376</v>
      </c>
      <c r="C82" s="26" t="s">
        <v>377</v>
      </c>
      <c r="D82" s="26" t="s">
        <v>3</v>
      </c>
      <c r="E82" s="26" t="s">
        <v>3</v>
      </c>
      <c r="F82" s="26" t="s">
        <v>52</v>
      </c>
      <c r="G82" s="26" t="s">
        <v>53</v>
      </c>
      <c r="H82" s="26" t="s">
        <v>378</v>
      </c>
      <c r="I82" s="25">
        <v>2</v>
      </c>
      <c r="J82" s="27">
        <v>29185.66</v>
      </c>
      <c r="K82" s="27">
        <v>20</v>
      </c>
      <c r="L82" s="27">
        <v>23348.53</v>
      </c>
      <c r="M82" s="27">
        <v>46697.06</v>
      </c>
      <c r="N82" s="27">
        <v>26499.72</v>
      </c>
      <c r="O82" s="27">
        <v>20197.34</v>
      </c>
      <c r="P82" s="28">
        <v>43.25</v>
      </c>
      <c r="Q82" s="29">
        <v>44997</v>
      </c>
      <c r="R82" s="29">
        <v>44999</v>
      </c>
      <c r="S82" s="26" t="s">
        <v>55</v>
      </c>
      <c r="T82" s="26" t="s">
        <v>56</v>
      </c>
      <c r="U82" s="26" t="s">
        <v>57</v>
      </c>
      <c r="V82" s="26" t="s">
        <v>58</v>
      </c>
    </row>
    <row r="83" spans="1:22" ht="18" customHeight="1" x14ac:dyDescent="0.3">
      <c r="A83" s="3" t="s">
        <v>379</v>
      </c>
      <c r="B83" s="3" t="s">
        <v>380</v>
      </c>
      <c r="C83" s="4" t="s">
        <v>381</v>
      </c>
      <c r="D83" s="4" t="s">
        <v>4</v>
      </c>
      <c r="E83" s="4" t="s">
        <v>62</v>
      </c>
      <c r="F83" s="4" t="s">
        <v>63</v>
      </c>
      <c r="G83" s="4" t="s">
        <v>64</v>
      </c>
      <c r="H83" s="4" t="s">
        <v>382</v>
      </c>
      <c r="I83" s="3">
        <v>3</v>
      </c>
      <c r="J83" s="5">
        <v>28821.8</v>
      </c>
      <c r="K83" s="5">
        <v>0</v>
      </c>
      <c r="L83" s="5">
        <v>28821.8</v>
      </c>
      <c r="M83" s="5">
        <v>86465.4</v>
      </c>
      <c r="N83" s="5">
        <v>50757.2</v>
      </c>
      <c r="O83" s="5">
        <v>35708.199999999997</v>
      </c>
      <c r="P83" s="24">
        <v>41.3</v>
      </c>
      <c r="Q83" s="6">
        <v>45579</v>
      </c>
      <c r="R83" s="6">
        <v>45581</v>
      </c>
      <c r="S83" s="4" t="s">
        <v>66</v>
      </c>
      <c r="T83" s="4" t="s">
        <v>56</v>
      </c>
      <c r="U83" s="4" t="s">
        <v>67</v>
      </c>
      <c r="V83" s="4" t="s">
        <v>68</v>
      </c>
    </row>
    <row r="84" spans="1:22" ht="18" customHeight="1" x14ac:dyDescent="0.3">
      <c r="A84" s="25" t="s">
        <v>383</v>
      </c>
      <c r="B84" s="25" t="s">
        <v>384</v>
      </c>
      <c r="C84" s="26" t="s">
        <v>385</v>
      </c>
      <c r="D84" s="26" t="s">
        <v>5</v>
      </c>
      <c r="E84" s="26" t="s">
        <v>72</v>
      </c>
      <c r="F84" s="26" t="s">
        <v>73</v>
      </c>
      <c r="G84" s="26" t="s">
        <v>74</v>
      </c>
      <c r="H84" s="26" t="s">
        <v>386</v>
      </c>
      <c r="I84" s="25">
        <v>7</v>
      </c>
      <c r="J84" s="27">
        <v>4735.91</v>
      </c>
      <c r="K84" s="27">
        <v>15</v>
      </c>
      <c r="L84" s="27">
        <v>4025.52</v>
      </c>
      <c r="M84" s="27">
        <v>28178.639999999999</v>
      </c>
      <c r="N84" s="27">
        <v>19935.37</v>
      </c>
      <c r="O84" s="27">
        <v>8243.27</v>
      </c>
      <c r="P84" s="28">
        <v>29.25</v>
      </c>
      <c r="Q84" s="29">
        <v>45166</v>
      </c>
      <c r="R84" s="29">
        <v>45173</v>
      </c>
      <c r="S84" s="26" t="s">
        <v>76</v>
      </c>
      <c r="T84" s="26" t="s">
        <v>56</v>
      </c>
      <c r="U84" s="26" t="s">
        <v>77</v>
      </c>
      <c r="V84" s="26" t="s">
        <v>78</v>
      </c>
    </row>
    <row r="85" spans="1:22" ht="18" customHeight="1" x14ac:dyDescent="0.3">
      <c r="A85" s="3" t="s">
        <v>387</v>
      </c>
      <c r="B85" s="3" t="s">
        <v>388</v>
      </c>
      <c r="C85" s="4" t="s">
        <v>389</v>
      </c>
      <c r="D85" s="4" t="s">
        <v>6</v>
      </c>
      <c r="E85" s="4" t="s">
        <v>82</v>
      </c>
      <c r="F85" s="4" t="s">
        <v>83</v>
      </c>
      <c r="G85" s="4" t="s">
        <v>84</v>
      </c>
      <c r="H85" s="4" t="s">
        <v>287</v>
      </c>
      <c r="I85" s="3">
        <v>7</v>
      </c>
      <c r="J85" s="5">
        <v>23316.65</v>
      </c>
      <c r="K85" s="5">
        <v>15</v>
      </c>
      <c r="L85" s="5">
        <v>19819.150000000001</v>
      </c>
      <c r="M85" s="5">
        <v>138734.04999999999</v>
      </c>
      <c r="N85" s="5">
        <v>67610.25</v>
      </c>
      <c r="O85" s="5">
        <v>71123.8</v>
      </c>
      <c r="P85" s="24">
        <v>51.27</v>
      </c>
      <c r="Q85" s="6">
        <v>45172</v>
      </c>
      <c r="R85" s="6">
        <v>45177</v>
      </c>
      <c r="S85" s="4" t="s">
        <v>86</v>
      </c>
      <c r="T85" s="4" t="s">
        <v>56</v>
      </c>
      <c r="U85" s="4" t="s">
        <v>87</v>
      </c>
      <c r="V85" s="4" t="s">
        <v>88</v>
      </c>
    </row>
    <row r="86" spans="1:22" ht="18" customHeight="1" x14ac:dyDescent="0.3">
      <c r="A86" s="25" t="s">
        <v>390</v>
      </c>
      <c r="B86" s="25" t="s">
        <v>391</v>
      </c>
      <c r="C86" s="26" t="s">
        <v>392</v>
      </c>
      <c r="D86" s="26" t="s">
        <v>7</v>
      </c>
      <c r="E86" s="26" t="s">
        <v>92</v>
      </c>
      <c r="F86" s="26" t="s">
        <v>93</v>
      </c>
      <c r="G86" s="26" t="s">
        <v>94</v>
      </c>
      <c r="H86" s="26" t="s">
        <v>393</v>
      </c>
      <c r="I86" s="25">
        <v>9</v>
      </c>
      <c r="J86" s="27">
        <v>14369.29</v>
      </c>
      <c r="K86" s="27">
        <v>25</v>
      </c>
      <c r="L86" s="27">
        <v>10776.97</v>
      </c>
      <c r="M86" s="27">
        <v>96992.73</v>
      </c>
      <c r="N86" s="27">
        <v>49628.54</v>
      </c>
      <c r="O86" s="27">
        <v>47364.19</v>
      </c>
      <c r="P86" s="28">
        <v>48.83</v>
      </c>
      <c r="Q86" s="29">
        <v>45623</v>
      </c>
      <c r="R86" s="29">
        <v>45627</v>
      </c>
      <c r="S86" s="26" t="s">
        <v>55</v>
      </c>
      <c r="T86" s="26" t="s">
        <v>56</v>
      </c>
      <c r="U86" s="26" t="s">
        <v>57</v>
      </c>
      <c r="V86" s="26" t="s">
        <v>96</v>
      </c>
    </row>
    <row r="87" spans="1:22" ht="18" customHeight="1" x14ac:dyDescent="0.3">
      <c r="A87" s="3" t="s">
        <v>394</v>
      </c>
      <c r="B87" s="3" t="s">
        <v>395</v>
      </c>
      <c r="C87" s="4" t="s">
        <v>396</v>
      </c>
      <c r="D87" s="4" t="s">
        <v>8</v>
      </c>
      <c r="E87" s="4" t="s">
        <v>100</v>
      </c>
      <c r="F87" s="4" t="s">
        <v>52</v>
      </c>
      <c r="G87" s="4" t="s">
        <v>53</v>
      </c>
      <c r="H87" s="4" t="s">
        <v>277</v>
      </c>
      <c r="I87" s="3">
        <v>8</v>
      </c>
      <c r="J87" s="5">
        <v>33837.57</v>
      </c>
      <c r="K87" s="5">
        <v>30</v>
      </c>
      <c r="L87" s="5">
        <v>23686.3</v>
      </c>
      <c r="M87" s="5">
        <v>189490.4</v>
      </c>
      <c r="N87" s="5">
        <v>136625.98000000001</v>
      </c>
      <c r="O87" s="5">
        <v>52864.42</v>
      </c>
      <c r="P87" s="24">
        <v>27.9</v>
      </c>
      <c r="Q87" s="6">
        <v>45547</v>
      </c>
      <c r="R87" s="6">
        <v>45550</v>
      </c>
      <c r="S87" s="4" t="s">
        <v>66</v>
      </c>
      <c r="T87" s="4" t="s">
        <v>56</v>
      </c>
      <c r="U87" s="4" t="s">
        <v>67</v>
      </c>
      <c r="V87" s="4" t="s">
        <v>103</v>
      </c>
    </row>
    <row r="88" spans="1:22" ht="18" customHeight="1" x14ac:dyDescent="0.3">
      <c r="A88" s="25" t="s">
        <v>397</v>
      </c>
      <c r="B88" s="25" t="s">
        <v>398</v>
      </c>
      <c r="C88" s="26" t="s">
        <v>399</v>
      </c>
      <c r="D88" s="26" t="s">
        <v>23</v>
      </c>
      <c r="E88" s="26" t="s">
        <v>107</v>
      </c>
      <c r="F88" s="26" t="s">
        <v>63</v>
      </c>
      <c r="G88" s="26" t="s">
        <v>64</v>
      </c>
      <c r="H88" s="26" t="s">
        <v>108</v>
      </c>
      <c r="I88" s="25">
        <v>1</v>
      </c>
      <c r="J88" s="27">
        <v>23221.77</v>
      </c>
      <c r="K88" s="27">
        <v>15</v>
      </c>
      <c r="L88" s="27">
        <v>19738.5</v>
      </c>
      <c r="M88" s="27">
        <v>19738.5</v>
      </c>
      <c r="N88" s="27">
        <v>12293.95</v>
      </c>
      <c r="O88" s="27">
        <v>7444.55</v>
      </c>
      <c r="P88" s="28">
        <v>37.72</v>
      </c>
      <c r="Q88" s="29">
        <v>45432</v>
      </c>
      <c r="R88" s="29">
        <v>45437</v>
      </c>
      <c r="S88" s="26" t="s">
        <v>76</v>
      </c>
      <c r="T88" s="26" t="s">
        <v>56</v>
      </c>
      <c r="U88" s="26" t="s">
        <v>77</v>
      </c>
      <c r="V88" s="26" t="s">
        <v>109</v>
      </c>
    </row>
    <row r="89" spans="1:22" ht="18" customHeight="1" x14ac:dyDescent="0.3">
      <c r="A89" s="3" t="s">
        <v>400</v>
      </c>
      <c r="B89" s="3" t="s">
        <v>401</v>
      </c>
      <c r="C89" s="4" t="s">
        <v>402</v>
      </c>
      <c r="D89" s="4" t="s">
        <v>24</v>
      </c>
      <c r="E89" s="4" t="s">
        <v>113</v>
      </c>
      <c r="F89" s="4" t="s">
        <v>73</v>
      </c>
      <c r="G89" s="4" t="s">
        <v>74</v>
      </c>
      <c r="H89" s="4" t="s">
        <v>403</v>
      </c>
      <c r="I89" s="3">
        <v>3</v>
      </c>
      <c r="J89" s="5">
        <v>35935.120000000003</v>
      </c>
      <c r="K89" s="5">
        <v>15</v>
      </c>
      <c r="L89" s="5">
        <v>30544.85</v>
      </c>
      <c r="M89" s="5">
        <v>91634.55</v>
      </c>
      <c r="N89" s="5">
        <v>67628.850000000006</v>
      </c>
      <c r="O89" s="5">
        <v>24005.7</v>
      </c>
      <c r="P89" s="24">
        <v>26.2</v>
      </c>
      <c r="Q89" s="6">
        <v>45150</v>
      </c>
      <c r="R89" s="6">
        <v>45153</v>
      </c>
      <c r="S89" s="4" t="s">
        <v>86</v>
      </c>
      <c r="T89" s="4" t="s">
        <v>56</v>
      </c>
      <c r="U89" s="4" t="s">
        <v>87</v>
      </c>
      <c r="V89" s="4" t="s">
        <v>115</v>
      </c>
    </row>
    <row r="90" spans="1:22" ht="18" customHeight="1" x14ac:dyDescent="0.3">
      <c r="A90" s="25" t="s">
        <v>404</v>
      </c>
      <c r="B90" s="25" t="s">
        <v>405</v>
      </c>
      <c r="C90" s="26" t="s">
        <v>406</v>
      </c>
      <c r="D90" s="26" t="s">
        <v>25</v>
      </c>
      <c r="E90" s="26" t="s">
        <v>107</v>
      </c>
      <c r="F90" s="26" t="s">
        <v>83</v>
      </c>
      <c r="G90" s="26" t="s">
        <v>84</v>
      </c>
      <c r="H90" s="26" t="s">
        <v>407</v>
      </c>
      <c r="I90" s="25">
        <v>2</v>
      </c>
      <c r="J90" s="27">
        <v>13362.35</v>
      </c>
      <c r="K90" s="27">
        <v>10</v>
      </c>
      <c r="L90" s="27">
        <v>12026.11</v>
      </c>
      <c r="M90" s="27">
        <v>24052.22</v>
      </c>
      <c r="N90" s="27">
        <v>16990.900000000001</v>
      </c>
      <c r="O90" s="27">
        <v>7061.32</v>
      </c>
      <c r="P90" s="28">
        <v>29.36</v>
      </c>
      <c r="Q90" s="29">
        <v>45387</v>
      </c>
      <c r="R90" s="29">
        <v>45388</v>
      </c>
      <c r="S90" s="26" t="s">
        <v>55</v>
      </c>
      <c r="T90" s="26" t="s">
        <v>56</v>
      </c>
      <c r="U90" s="26" t="s">
        <v>57</v>
      </c>
      <c r="V90" s="26" t="s">
        <v>120</v>
      </c>
    </row>
    <row r="91" spans="1:22" ht="18" customHeight="1" x14ac:dyDescent="0.3">
      <c r="A91" s="3" t="s">
        <v>408</v>
      </c>
      <c r="B91" s="3" t="s">
        <v>409</v>
      </c>
      <c r="C91" s="4" t="s">
        <v>410</v>
      </c>
      <c r="D91" s="4" t="s">
        <v>9</v>
      </c>
      <c r="E91" s="4" t="s">
        <v>62</v>
      </c>
      <c r="F91" s="4" t="s">
        <v>93</v>
      </c>
      <c r="G91" s="4" t="s">
        <v>94</v>
      </c>
      <c r="H91" s="4" t="s">
        <v>374</v>
      </c>
      <c r="I91" s="3">
        <v>1</v>
      </c>
      <c r="J91" s="5">
        <v>5742.01</v>
      </c>
      <c r="K91" s="5">
        <v>30</v>
      </c>
      <c r="L91" s="5">
        <v>4019.41</v>
      </c>
      <c r="M91" s="5">
        <v>4019.41</v>
      </c>
      <c r="N91" s="5">
        <v>2890.61</v>
      </c>
      <c r="O91" s="5">
        <v>1128.8</v>
      </c>
      <c r="P91" s="24">
        <v>28.08</v>
      </c>
      <c r="Q91" s="6">
        <v>45314</v>
      </c>
      <c r="R91" s="6">
        <v>45321</v>
      </c>
      <c r="S91" s="4" t="s">
        <v>66</v>
      </c>
      <c r="T91" s="4" t="s">
        <v>235</v>
      </c>
      <c r="U91" s="4" t="s">
        <v>67</v>
      </c>
      <c r="V91" s="4" t="s">
        <v>125</v>
      </c>
    </row>
    <row r="92" spans="1:22" ht="18" customHeight="1" x14ac:dyDescent="0.3">
      <c r="A92" s="25" t="s">
        <v>411</v>
      </c>
      <c r="B92" s="25" t="s">
        <v>412</v>
      </c>
      <c r="C92" s="26" t="s">
        <v>413</v>
      </c>
      <c r="D92" s="26" t="s">
        <v>3</v>
      </c>
      <c r="E92" s="26" t="s">
        <v>3</v>
      </c>
      <c r="F92" s="26" t="s">
        <v>52</v>
      </c>
      <c r="G92" s="26" t="s">
        <v>53</v>
      </c>
      <c r="H92" s="26" t="s">
        <v>101</v>
      </c>
      <c r="I92" s="25">
        <v>9</v>
      </c>
      <c r="J92" s="27">
        <v>43526.38</v>
      </c>
      <c r="K92" s="27">
        <v>30</v>
      </c>
      <c r="L92" s="27">
        <v>30468.47</v>
      </c>
      <c r="M92" s="27">
        <v>274216.23</v>
      </c>
      <c r="N92" s="27">
        <v>191900.86</v>
      </c>
      <c r="O92" s="27">
        <v>82315.37</v>
      </c>
      <c r="P92" s="28">
        <v>30.02</v>
      </c>
      <c r="Q92" s="29">
        <v>44985</v>
      </c>
      <c r="R92" s="29">
        <v>44988</v>
      </c>
      <c r="S92" s="26" t="s">
        <v>76</v>
      </c>
      <c r="T92" s="26" t="s">
        <v>56</v>
      </c>
      <c r="U92" s="26" t="s">
        <v>77</v>
      </c>
      <c r="V92" s="26" t="s">
        <v>58</v>
      </c>
    </row>
    <row r="93" spans="1:22" ht="18" customHeight="1" x14ac:dyDescent="0.3">
      <c r="A93" s="3" t="s">
        <v>414</v>
      </c>
      <c r="B93" s="3" t="s">
        <v>415</v>
      </c>
      <c r="C93" s="4" t="s">
        <v>416</v>
      </c>
      <c r="D93" s="4" t="s">
        <v>4</v>
      </c>
      <c r="E93" s="4" t="s">
        <v>62</v>
      </c>
      <c r="F93" s="4" t="s">
        <v>63</v>
      </c>
      <c r="G93" s="4" t="s">
        <v>64</v>
      </c>
      <c r="H93" s="4" t="s">
        <v>207</v>
      </c>
      <c r="I93" s="3">
        <v>5</v>
      </c>
      <c r="J93" s="5">
        <v>34601.35</v>
      </c>
      <c r="K93" s="5">
        <v>5</v>
      </c>
      <c r="L93" s="5">
        <v>32871.279999999999</v>
      </c>
      <c r="M93" s="5">
        <v>164356.4</v>
      </c>
      <c r="N93" s="5">
        <v>78933.31</v>
      </c>
      <c r="O93" s="5">
        <v>85423.09</v>
      </c>
      <c r="P93" s="24">
        <v>51.97</v>
      </c>
      <c r="Q93" s="6">
        <v>45345</v>
      </c>
      <c r="R93" s="6">
        <v>45355</v>
      </c>
      <c r="S93" s="4" t="s">
        <v>86</v>
      </c>
      <c r="T93" s="4" t="s">
        <v>56</v>
      </c>
      <c r="U93" s="4" t="s">
        <v>87</v>
      </c>
      <c r="V93" s="4" t="s">
        <v>68</v>
      </c>
    </row>
    <row r="94" spans="1:22" ht="18" customHeight="1" x14ac:dyDescent="0.3">
      <c r="A94" s="25" t="s">
        <v>417</v>
      </c>
      <c r="B94" s="25" t="s">
        <v>418</v>
      </c>
      <c r="C94" s="26" t="s">
        <v>419</v>
      </c>
      <c r="D94" s="26" t="s">
        <v>5</v>
      </c>
      <c r="E94" s="26" t="s">
        <v>72</v>
      </c>
      <c r="F94" s="26" t="s">
        <v>73</v>
      </c>
      <c r="G94" s="26" t="s">
        <v>74</v>
      </c>
      <c r="H94" s="26" t="s">
        <v>420</v>
      </c>
      <c r="I94" s="25">
        <v>2</v>
      </c>
      <c r="J94" s="27">
        <v>21665.68</v>
      </c>
      <c r="K94" s="27">
        <v>30</v>
      </c>
      <c r="L94" s="27">
        <v>15165.98</v>
      </c>
      <c r="M94" s="27">
        <v>30331.96</v>
      </c>
      <c r="N94" s="27">
        <v>19383.849999999999</v>
      </c>
      <c r="O94" s="27">
        <v>10948.11</v>
      </c>
      <c r="P94" s="28">
        <v>36.090000000000003</v>
      </c>
      <c r="Q94" s="29">
        <v>45333</v>
      </c>
      <c r="R94" s="29">
        <v>45339</v>
      </c>
      <c r="S94" s="26" t="s">
        <v>55</v>
      </c>
      <c r="T94" s="26" t="s">
        <v>56</v>
      </c>
      <c r="U94" s="26" t="s">
        <v>57</v>
      </c>
      <c r="V94" s="26" t="s">
        <v>78</v>
      </c>
    </row>
    <row r="95" spans="1:22" ht="18" customHeight="1" x14ac:dyDescent="0.3">
      <c r="A95" s="3" t="s">
        <v>421</v>
      </c>
      <c r="B95" s="3" t="s">
        <v>422</v>
      </c>
      <c r="C95" s="4" t="s">
        <v>423</v>
      </c>
      <c r="D95" s="4" t="s">
        <v>6</v>
      </c>
      <c r="E95" s="4" t="s">
        <v>82</v>
      </c>
      <c r="F95" s="4" t="s">
        <v>83</v>
      </c>
      <c r="G95" s="4" t="s">
        <v>84</v>
      </c>
      <c r="H95" s="4" t="s">
        <v>234</v>
      </c>
      <c r="I95" s="3">
        <v>10</v>
      </c>
      <c r="J95" s="5">
        <v>48366.68</v>
      </c>
      <c r="K95" s="5">
        <v>15</v>
      </c>
      <c r="L95" s="5">
        <v>41111.68</v>
      </c>
      <c r="M95" s="5">
        <v>411116.79999999999</v>
      </c>
      <c r="N95" s="5">
        <v>302301.08</v>
      </c>
      <c r="O95" s="5">
        <v>108815.72</v>
      </c>
      <c r="P95" s="24">
        <v>26.47</v>
      </c>
      <c r="Q95" s="6">
        <v>45554</v>
      </c>
      <c r="R95" s="6">
        <v>45556</v>
      </c>
      <c r="S95" s="4" t="s">
        <v>66</v>
      </c>
      <c r="T95" s="4" t="s">
        <v>56</v>
      </c>
      <c r="U95" s="4" t="s">
        <v>67</v>
      </c>
      <c r="V95" s="4" t="s">
        <v>88</v>
      </c>
    </row>
    <row r="96" spans="1:22" ht="18" customHeight="1" x14ac:dyDescent="0.3">
      <c r="A96" s="25" t="s">
        <v>424</v>
      </c>
      <c r="B96" s="25" t="s">
        <v>425</v>
      </c>
      <c r="C96" s="26" t="s">
        <v>426</v>
      </c>
      <c r="D96" s="26" t="s">
        <v>7</v>
      </c>
      <c r="E96" s="26" t="s">
        <v>92</v>
      </c>
      <c r="F96" s="26" t="s">
        <v>93</v>
      </c>
      <c r="G96" s="26" t="s">
        <v>94</v>
      </c>
      <c r="H96" s="26" t="s">
        <v>219</v>
      </c>
      <c r="I96" s="25">
        <v>3</v>
      </c>
      <c r="J96" s="27">
        <v>21604.78</v>
      </c>
      <c r="K96" s="27">
        <v>25</v>
      </c>
      <c r="L96" s="27">
        <v>16203.58</v>
      </c>
      <c r="M96" s="27">
        <v>48610.74</v>
      </c>
      <c r="N96" s="27">
        <v>25751.83</v>
      </c>
      <c r="O96" s="27">
        <v>22858.91</v>
      </c>
      <c r="P96" s="28">
        <v>47.02</v>
      </c>
      <c r="Q96" s="29">
        <v>45017</v>
      </c>
      <c r="R96" s="29">
        <v>45021</v>
      </c>
      <c r="S96" s="26" t="s">
        <v>76</v>
      </c>
      <c r="T96" s="26" t="s">
        <v>56</v>
      </c>
      <c r="U96" s="26" t="s">
        <v>77</v>
      </c>
      <c r="V96" s="26" t="s">
        <v>96</v>
      </c>
    </row>
    <row r="97" spans="1:22" ht="18" customHeight="1" x14ac:dyDescent="0.3">
      <c r="A97" s="3" t="s">
        <v>427</v>
      </c>
      <c r="B97" s="3" t="s">
        <v>428</v>
      </c>
      <c r="C97" s="4" t="s">
        <v>429</v>
      </c>
      <c r="D97" s="4" t="s">
        <v>8</v>
      </c>
      <c r="E97" s="4" t="s">
        <v>100</v>
      </c>
      <c r="F97" s="4" t="s">
        <v>52</v>
      </c>
      <c r="G97" s="4" t="s">
        <v>53</v>
      </c>
      <c r="H97" s="4" t="s">
        <v>378</v>
      </c>
      <c r="I97" s="3">
        <v>9</v>
      </c>
      <c r="J97" s="5">
        <v>32611.19</v>
      </c>
      <c r="K97" s="5">
        <v>15</v>
      </c>
      <c r="L97" s="5">
        <v>27719.51</v>
      </c>
      <c r="M97" s="5">
        <v>249475.59</v>
      </c>
      <c r="N97" s="5">
        <v>170620.41</v>
      </c>
      <c r="O97" s="5">
        <v>78855.179999999993</v>
      </c>
      <c r="P97" s="24">
        <v>31.61</v>
      </c>
      <c r="Q97" s="6">
        <v>45557</v>
      </c>
      <c r="R97" s="6">
        <v>45567</v>
      </c>
      <c r="S97" s="4" t="s">
        <v>86</v>
      </c>
      <c r="T97" s="4" t="s">
        <v>56</v>
      </c>
      <c r="U97" s="4" t="s">
        <v>87</v>
      </c>
      <c r="V97" s="4" t="s">
        <v>103</v>
      </c>
    </row>
    <row r="98" spans="1:22" ht="18" customHeight="1" x14ac:dyDescent="0.3">
      <c r="A98" s="25" t="s">
        <v>430</v>
      </c>
      <c r="B98" s="25" t="s">
        <v>431</v>
      </c>
      <c r="C98" s="26" t="s">
        <v>432</v>
      </c>
      <c r="D98" s="26" t="s">
        <v>23</v>
      </c>
      <c r="E98" s="26" t="s">
        <v>107</v>
      </c>
      <c r="F98" s="26" t="s">
        <v>63</v>
      </c>
      <c r="G98" s="26" t="s">
        <v>64</v>
      </c>
      <c r="H98" s="26" t="s">
        <v>65</v>
      </c>
      <c r="I98" s="25">
        <v>8</v>
      </c>
      <c r="J98" s="27">
        <v>1490.55</v>
      </c>
      <c r="K98" s="27">
        <v>30</v>
      </c>
      <c r="L98" s="27">
        <v>1043.3800000000001</v>
      </c>
      <c r="M98" s="27">
        <v>8347.0400000000009</v>
      </c>
      <c r="N98" s="27">
        <v>4360.8100000000004</v>
      </c>
      <c r="O98" s="27">
        <v>3986.23</v>
      </c>
      <c r="P98" s="28">
        <v>47.76</v>
      </c>
      <c r="Q98" s="29">
        <v>45423</v>
      </c>
      <c r="R98" s="29">
        <v>45430</v>
      </c>
      <c r="S98" s="26" t="s">
        <v>55</v>
      </c>
      <c r="T98" s="26" t="s">
        <v>56</v>
      </c>
      <c r="U98" s="26" t="s">
        <v>57</v>
      </c>
      <c r="V98" s="26" t="s">
        <v>109</v>
      </c>
    </row>
    <row r="99" spans="1:22" ht="18" customHeight="1" x14ac:dyDescent="0.3">
      <c r="A99" s="3" t="s">
        <v>433</v>
      </c>
      <c r="B99" s="3" t="s">
        <v>434</v>
      </c>
      <c r="C99" s="4" t="s">
        <v>435</v>
      </c>
      <c r="D99" s="4" t="s">
        <v>24</v>
      </c>
      <c r="E99" s="4" t="s">
        <v>113</v>
      </c>
      <c r="F99" s="4" t="s">
        <v>73</v>
      </c>
      <c r="G99" s="4" t="s">
        <v>74</v>
      </c>
      <c r="H99" s="4" t="s">
        <v>175</v>
      </c>
      <c r="I99" s="3">
        <v>3</v>
      </c>
      <c r="J99" s="5">
        <v>14874.8</v>
      </c>
      <c r="K99" s="5">
        <v>20</v>
      </c>
      <c r="L99" s="5">
        <v>11899.84</v>
      </c>
      <c r="M99" s="5">
        <v>35699.519999999997</v>
      </c>
      <c r="N99" s="5">
        <v>19312.05</v>
      </c>
      <c r="O99" s="5">
        <v>16387.47</v>
      </c>
      <c r="P99" s="24">
        <v>45.9</v>
      </c>
      <c r="Q99" s="6">
        <v>45370</v>
      </c>
      <c r="R99" s="6">
        <v>45378</v>
      </c>
      <c r="S99" s="4" t="s">
        <v>66</v>
      </c>
      <c r="T99" s="4" t="s">
        <v>56</v>
      </c>
      <c r="U99" s="4" t="s">
        <v>67</v>
      </c>
      <c r="V99" s="4" t="s">
        <v>115</v>
      </c>
    </row>
    <row r="100" spans="1:22" ht="18" customHeight="1" x14ac:dyDescent="0.3">
      <c r="A100" s="25" t="s">
        <v>436</v>
      </c>
      <c r="B100" s="25" t="s">
        <v>437</v>
      </c>
      <c r="C100" s="26" t="s">
        <v>438</v>
      </c>
      <c r="D100" s="26" t="s">
        <v>25</v>
      </c>
      <c r="E100" s="26" t="s">
        <v>107</v>
      </c>
      <c r="F100" s="26" t="s">
        <v>83</v>
      </c>
      <c r="G100" s="26" t="s">
        <v>84</v>
      </c>
      <c r="H100" s="26" t="s">
        <v>439</v>
      </c>
      <c r="I100" s="25">
        <v>2</v>
      </c>
      <c r="J100" s="27">
        <v>20249.14</v>
      </c>
      <c r="K100" s="27">
        <v>30</v>
      </c>
      <c r="L100" s="27">
        <v>14174.4</v>
      </c>
      <c r="M100" s="27">
        <v>28348.799999999999</v>
      </c>
      <c r="N100" s="27">
        <v>14141.75</v>
      </c>
      <c r="O100" s="27">
        <v>14207.05</v>
      </c>
      <c r="P100" s="28">
        <v>50.12</v>
      </c>
      <c r="Q100" s="29">
        <v>44944</v>
      </c>
      <c r="R100" s="29">
        <v>44950</v>
      </c>
      <c r="S100" s="26" t="s">
        <v>76</v>
      </c>
      <c r="T100" s="26" t="s">
        <v>56</v>
      </c>
      <c r="U100" s="26" t="s">
        <v>77</v>
      </c>
      <c r="V100" s="26" t="s">
        <v>120</v>
      </c>
    </row>
    <row r="101" spans="1:22" ht="18" customHeight="1" x14ac:dyDescent="0.3">
      <c r="A101" s="3" t="s">
        <v>440</v>
      </c>
      <c r="B101" s="3" t="s">
        <v>441</v>
      </c>
      <c r="C101" s="4" t="s">
        <v>442</v>
      </c>
      <c r="D101" s="4" t="s">
        <v>9</v>
      </c>
      <c r="E101" s="4" t="s">
        <v>62</v>
      </c>
      <c r="F101" s="4" t="s">
        <v>93</v>
      </c>
      <c r="G101" s="4" t="s">
        <v>94</v>
      </c>
      <c r="H101" s="4" t="s">
        <v>443</v>
      </c>
      <c r="I101" s="3">
        <v>6</v>
      </c>
      <c r="J101" s="5">
        <v>39941.47</v>
      </c>
      <c r="K101" s="5">
        <v>20</v>
      </c>
      <c r="L101" s="5">
        <v>31953.18</v>
      </c>
      <c r="M101" s="5">
        <v>191719.08</v>
      </c>
      <c r="N101" s="5">
        <v>106077.74</v>
      </c>
      <c r="O101" s="5">
        <v>85641.34</v>
      </c>
      <c r="P101" s="24">
        <v>44.67</v>
      </c>
      <c r="Q101" s="6">
        <v>45220</v>
      </c>
      <c r="R101" s="6">
        <v>45225</v>
      </c>
      <c r="S101" s="4" t="s">
        <v>86</v>
      </c>
      <c r="T101" s="4" t="s">
        <v>235</v>
      </c>
      <c r="U101" s="4" t="s">
        <v>87</v>
      </c>
      <c r="V101" s="4" t="s">
        <v>125</v>
      </c>
    </row>
    <row r="102" spans="1:22" ht="18" customHeight="1" x14ac:dyDescent="0.3">
      <c r="A102" s="25" t="s">
        <v>444</v>
      </c>
      <c r="B102" s="25" t="s">
        <v>445</v>
      </c>
      <c r="C102" s="26" t="s">
        <v>446</v>
      </c>
      <c r="D102" s="26" t="s">
        <v>3</v>
      </c>
      <c r="E102" s="26" t="s">
        <v>3</v>
      </c>
      <c r="F102" s="26" t="s">
        <v>52</v>
      </c>
      <c r="G102" s="26" t="s">
        <v>53</v>
      </c>
      <c r="H102" s="26" t="s">
        <v>447</v>
      </c>
      <c r="I102" s="25">
        <v>1</v>
      </c>
      <c r="J102" s="27">
        <v>18745</v>
      </c>
      <c r="K102" s="27">
        <v>20</v>
      </c>
      <c r="L102" s="27">
        <v>14996</v>
      </c>
      <c r="M102" s="27">
        <v>14996</v>
      </c>
      <c r="N102" s="27">
        <v>9333.2999999999993</v>
      </c>
      <c r="O102" s="27">
        <v>5662.7</v>
      </c>
      <c r="P102" s="28">
        <v>37.76</v>
      </c>
      <c r="Q102" s="29">
        <v>45451</v>
      </c>
      <c r="R102" s="29">
        <v>45454</v>
      </c>
      <c r="S102" s="26" t="s">
        <v>55</v>
      </c>
      <c r="T102" s="26" t="s">
        <v>56</v>
      </c>
      <c r="U102" s="26" t="s">
        <v>57</v>
      </c>
      <c r="V102" s="26" t="s">
        <v>58</v>
      </c>
    </row>
    <row r="103" spans="1:22" ht="18" customHeight="1" x14ac:dyDescent="0.3">
      <c r="A103" s="3" t="s">
        <v>448</v>
      </c>
      <c r="B103" s="3" t="s">
        <v>449</v>
      </c>
      <c r="C103" s="4" t="s">
        <v>450</v>
      </c>
      <c r="D103" s="4" t="s">
        <v>4</v>
      </c>
      <c r="E103" s="4" t="s">
        <v>62</v>
      </c>
      <c r="F103" s="4" t="s">
        <v>63</v>
      </c>
      <c r="G103" s="4" t="s">
        <v>64</v>
      </c>
      <c r="H103" s="4" t="s">
        <v>451</v>
      </c>
      <c r="I103" s="3">
        <v>9</v>
      </c>
      <c r="J103" s="5">
        <v>28240.05</v>
      </c>
      <c r="K103" s="5">
        <v>20</v>
      </c>
      <c r="L103" s="5">
        <v>22592.04</v>
      </c>
      <c r="M103" s="5">
        <v>203328.36</v>
      </c>
      <c r="N103" s="5">
        <v>116595.94</v>
      </c>
      <c r="O103" s="5">
        <v>86732.42</v>
      </c>
      <c r="P103" s="24">
        <v>42.66</v>
      </c>
      <c r="Q103" s="6">
        <v>45164</v>
      </c>
      <c r="R103" s="6">
        <v>45169</v>
      </c>
      <c r="S103" s="4" t="s">
        <v>66</v>
      </c>
      <c r="T103" s="4" t="s">
        <v>56</v>
      </c>
      <c r="U103" s="4" t="s">
        <v>67</v>
      </c>
      <c r="V103" s="4" t="s">
        <v>68</v>
      </c>
    </row>
    <row r="104" spans="1:22" ht="18" customHeight="1" x14ac:dyDescent="0.3">
      <c r="A104" s="25" t="s">
        <v>452</v>
      </c>
      <c r="B104" s="25" t="s">
        <v>453</v>
      </c>
      <c r="C104" s="26" t="s">
        <v>454</v>
      </c>
      <c r="D104" s="26" t="s">
        <v>5</v>
      </c>
      <c r="E104" s="26" t="s">
        <v>72</v>
      </c>
      <c r="F104" s="26" t="s">
        <v>73</v>
      </c>
      <c r="G104" s="26" t="s">
        <v>74</v>
      </c>
      <c r="H104" s="26" t="s">
        <v>455</v>
      </c>
      <c r="I104" s="25">
        <v>5</v>
      </c>
      <c r="J104" s="27">
        <v>9796.67</v>
      </c>
      <c r="K104" s="27">
        <v>20</v>
      </c>
      <c r="L104" s="27">
        <v>7837.34</v>
      </c>
      <c r="M104" s="27">
        <v>39186.699999999997</v>
      </c>
      <c r="N104" s="27">
        <v>22974.959999999999</v>
      </c>
      <c r="O104" s="27">
        <v>16211.74</v>
      </c>
      <c r="P104" s="28">
        <v>41.37</v>
      </c>
      <c r="Q104" s="29">
        <v>45083</v>
      </c>
      <c r="R104" s="29">
        <v>45093</v>
      </c>
      <c r="S104" s="26" t="s">
        <v>76</v>
      </c>
      <c r="T104" s="26" t="s">
        <v>56</v>
      </c>
      <c r="U104" s="26" t="s">
        <v>77</v>
      </c>
      <c r="V104" s="26" t="s">
        <v>78</v>
      </c>
    </row>
    <row r="105" spans="1:22" ht="18" customHeight="1" x14ac:dyDescent="0.3">
      <c r="A105" s="3" t="s">
        <v>456</v>
      </c>
      <c r="B105" s="3" t="s">
        <v>457</v>
      </c>
      <c r="C105" s="4" t="s">
        <v>307</v>
      </c>
      <c r="D105" s="4" t="s">
        <v>6</v>
      </c>
      <c r="E105" s="4" t="s">
        <v>82</v>
      </c>
      <c r="F105" s="4" t="s">
        <v>83</v>
      </c>
      <c r="G105" s="4" t="s">
        <v>84</v>
      </c>
      <c r="H105" s="4" t="s">
        <v>160</v>
      </c>
      <c r="I105" s="3">
        <v>6</v>
      </c>
      <c r="J105" s="5">
        <v>3991.56</v>
      </c>
      <c r="K105" s="5">
        <v>0</v>
      </c>
      <c r="L105" s="5">
        <v>3991.56</v>
      </c>
      <c r="M105" s="5">
        <v>23949.360000000001</v>
      </c>
      <c r="N105" s="5">
        <v>15963.82</v>
      </c>
      <c r="O105" s="5">
        <v>7985.54</v>
      </c>
      <c r="P105" s="24">
        <v>33.340000000000003</v>
      </c>
      <c r="Q105" s="6">
        <v>45161</v>
      </c>
      <c r="R105" s="6">
        <v>45163</v>
      </c>
      <c r="S105" s="4" t="s">
        <v>86</v>
      </c>
      <c r="T105" s="4" t="s">
        <v>56</v>
      </c>
      <c r="U105" s="4" t="s">
        <v>87</v>
      </c>
      <c r="V105" s="4" t="s">
        <v>88</v>
      </c>
    </row>
    <row r="106" spans="1:22" ht="18" customHeight="1" x14ac:dyDescent="0.3">
      <c r="A106" s="25" t="s">
        <v>458</v>
      </c>
      <c r="B106" s="25" t="s">
        <v>459</v>
      </c>
      <c r="C106" s="26" t="s">
        <v>460</v>
      </c>
      <c r="D106" s="26" t="s">
        <v>7</v>
      </c>
      <c r="E106" s="26" t="s">
        <v>92</v>
      </c>
      <c r="F106" s="26" t="s">
        <v>93</v>
      </c>
      <c r="G106" s="26" t="s">
        <v>94</v>
      </c>
      <c r="H106" s="26" t="s">
        <v>358</v>
      </c>
      <c r="I106" s="25">
        <v>8</v>
      </c>
      <c r="J106" s="27">
        <v>18804.22</v>
      </c>
      <c r="K106" s="27">
        <v>25</v>
      </c>
      <c r="L106" s="27">
        <v>14103.17</v>
      </c>
      <c r="M106" s="27">
        <v>112825.36</v>
      </c>
      <c r="N106" s="27">
        <v>73863.48</v>
      </c>
      <c r="O106" s="27">
        <v>38961.879999999997</v>
      </c>
      <c r="P106" s="28">
        <v>34.53</v>
      </c>
      <c r="Q106" s="29">
        <v>45409</v>
      </c>
      <c r="R106" s="29">
        <v>45415</v>
      </c>
      <c r="S106" s="26" t="s">
        <v>55</v>
      </c>
      <c r="T106" s="26" t="s">
        <v>56</v>
      </c>
      <c r="U106" s="26" t="s">
        <v>57</v>
      </c>
      <c r="V106" s="26" t="s">
        <v>96</v>
      </c>
    </row>
    <row r="107" spans="1:22" ht="18" customHeight="1" x14ac:dyDescent="0.3">
      <c r="A107" s="3" t="s">
        <v>461</v>
      </c>
      <c r="B107" s="3" t="s">
        <v>462</v>
      </c>
      <c r="C107" s="4" t="s">
        <v>463</v>
      </c>
      <c r="D107" s="4" t="s">
        <v>8</v>
      </c>
      <c r="E107" s="4" t="s">
        <v>100</v>
      </c>
      <c r="F107" s="4" t="s">
        <v>52</v>
      </c>
      <c r="G107" s="4" t="s">
        <v>53</v>
      </c>
      <c r="H107" s="4" t="s">
        <v>464</v>
      </c>
      <c r="I107" s="3">
        <v>6</v>
      </c>
      <c r="J107" s="5">
        <v>28904.09</v>
      </c>
      <c r="K107" s="5">
        <v>5</v>
      </c>
      <c r="L107" s="5">
        <v>27458.89</v>
      </c>
      <c r="M107" s="5">
        <v>164753.34</v>
      </c>
      <c r="N107" s="5">
        <v>114536.26</v>
      </c>
      <c r="O107" s="5">
        <v>50217.08</v>
      </c>
      <c r="P107" s="24">
        <v>30.48</v>
      </c>
      <c r="Q107" s="6">
        <v>44931</v>
      </c>
      <c r="R107" s="6">
        <v>44933</v>
      </c>
      <c r="S107" s="4" t="s">
        <v>66</v>
      </c>
      <c r="T107" s="4" t="s">
        <v>56</v>
      </c>
      <c r="U107" s="4" t="s">
        <v>67</v>
      </c>
      <c r="V107" s="4" t="s">
        <v>103</v>
      </c>
    </row>
    <row r="108" spans="1:22" ht="18" customHeight="1" x14ac:dyDescent="0.3">
      <c r="A108" s="25" t="s">
        <v>465</v>
      </c>
      <c r="B108" s="25" t="s">
        <v>466</v>
      </c>
      <c r="C108" s="26" t="s">
        <v>467</v>
      </c>
      <c r="D108" s="26" t="s">
        <v>23</v>
      </c>
      <c r="E108" s="26" t="s">
        <v>107</v>
      </c>
      <c r="F108" s="26" t="s">
        <v>63</v>
      </c>
      <c r="G108" s="26" t="s">
        <v>64</v>
      </c>
      <c r="H108" s="26" t="s">
        <v>226</v>
      </c>
      <c r="I108" s="25">
        <v>9</v>
      </c>
      <c r="J108" s="27">
        <v>49569.63</v>
      </c>
      <c r="K108" s="27">
        <v>30</v>
      </c>
      <c r="L108" s="27">
        <v>34698.74</v>
      </c>
      <c r="M108" s="27">
        <v>312288.65999999997</v>
      </c>
      <c r="N108" s="27">
        <v>183962.22</v>
      </c>
      <c r="O108" s="27">
        <v>128326.44</v>
      </c>
      <c r="P108" s="28">
        <v>41.09</v>
      </c>
      <c r="Q108" s="29">
        <v>45277</v>
      </c>
      <c r="R108" s="29">
        <v>45286</v>
      </c>
      <c r="S108" s="26" t="s">
        <v>76</v>
      </c>
      <c r="T108" s="26" t="s">
        <v>102</v>
      </c>
      <c r="U108" s="26" t="s">
        <v>77</v>
      </c>
      <c r="V108" s="26" t="s">
        <v>109</v>
      </c>
    </row>
    <row r="109" spans="1:22" ht="18" customHeight="1" x14ac:dyDescent="0.3">
      <c r="A109" s="3" t="s">
        <v>468</v>
      </c>
      <c r="B109" s="3" t="s">
        <v>469</v>
      </c>
      <c r="C109" s="4" t="s">
        <v>470</v>
      </c>
      <c r="D109" s="4" t="s">
        <v>24</v>
      </c>
      <c r="E109" s="4" t="s">
        <v>113</v>
      </c>
      <c r="F109" s="4" t="s">
        <v>73</v>
      </c>
      <c r="G109" s="4" t="s">
        <v>74</v>
      </c>
      <c r="H109" s="4" t="s">
        <v>471</v>
      </c>
      <c r="I109" s="3">
        <v>1</v>
      </c>
      <c r="J109" s="5">
        <v>25380.92</v>
      </c>
      <c r="K109" s="5">
        <v>10</v>
      </c>
      <c r="L109" s="5">
        <v>22842.83</v>
      </c>
      <c r="M109" s="5">
        <v>22842.83</v>
      </c>
      <c r="N109" s="5">
        <v>16908.71</v>
      </c>
      <c r="O109" s="5">
        <v>5934.12</v>
      </c>
      <c r="P109" s="24">
        <v>25.98</v>
      </c>
      <c r="Q109" s="6">
        <v>44987</v>
      </c>
      <c r="R109" s="6">
        <v>44996</v>
      </c>
      <c r="S109" s="4" t="s">
        <v>86</v>
      </c>
      <c r="T109" s="4" t="s">
        <v>56</v>
      </c>
      <c r="U109" s="4" t="s">
        <v>87</v>
      </c>
      <c r="V109" s="4" t="s">
        <v>115</v>
      </c>
    </row>
    <row r="110" spans="1:22" ht="18" customHeight="1" x14ac:dyDescent="0.3">
      <c r="A110" s="25" t="s">
        <v>472</v>
      </c>
      <c r="B110" s="25" t="s">
        <v>473</v>
      </c>
      <c r="C110" s="26" t="s">
        <v>474</v>
      </c>
      <c r="D110" s="26" t="s">
        <v>25</v>
      </c>
      <c r="E110" s="26" t="s">
        <v>107</v>
      </c>
      <c r="F110" s="26" t="s">
        <v>83</v>
      </c>
      <c r="G110" s="26" t="s">
        <v>84</v>
      </c>
      <c r="H110" s="26" t="s">
        <v>141</v>
      </c>
      <c r="I110" s="25">
        <v>1</v>
      </c>
      <c r="J110" s="27">
        <v>7726.03</v>
      </c>
      <c r="K110" s="27">
        <v>30</v>
      </c>
      <c r="L110" s="27">
        <v>5408.22</v>
      </c>
      <c r="M110" s="27">
        <v>5408.22</v>
      </c>
      <c r="N110" s="27">
        <v>3434.1</v>
      </c>
      <c r="O110" s="27">
        <v>1974.12</v>
      </c>
      <c r="P110" s="28">
        <v>36.5</v>
      </c>
      <c r="Q110" s="29">
        <v>45521</v>
      </c>
      <c r="R110" s="29">
        <v>45525</v>
      </c>
      <c r="S110" s="26" t="s">
        <v>55</v>
      </c>
      <c r="T110" s="26" t="s">
        <v>56</v>
      </c>
      <c r="U110" s="26" t="s">
        <v>57</v>
      </c>
      <c r="V110" s="26" t="s">
        <v>120</v>
      </c>
    </row>
    <row r="111" spans="1:22" ht="18" customHeight="1" x14ac:dyDescent="0.3">
      <c r="A111" s="3" t="s">
        <v>475</v>
      </c>
      <c r="B111" s="3" t="s">
        <v>476</v>
      </c>
      <c r="C111" s="4" t="s">
        <v>477</v>
      </c>
      <c r="D111" s="4" t="s">
        <v>9</v>
      </c>
      <c r="E111" s="4" t="s">
        <v>62</v>
      </c>
      <c r="F111" s="4" t="s">
        <v>93</v>
      </c>
      <c r="G111" s="4" t="s">
        <v>94</v>
      </c>
      <c r="H111" s="4" t="s">
        <v>478</v>
      </c>
      <c r="I111" s="3">
        <v>6</v>
      </c>
      <c r="J111" s="5">
        <v>13052.46</v>
      </c>
      <c r="K111" s="5">
        <v>30</v>
      </c>
      <c r="L111" s="5">
        <v>9136.7199999999993</v>
      </c>
      <c r="M111" s="5">
        <v>54820.32</v>
      </c>
      <c r="N111" s="5">
        <v>30363.25</v>
      </c>
      <c r="O111" s="5">
        <v>24457.07</v>
      </c>
      <c r="P111" s="24">
        <v>44.61</v>
      </c>
      <c r="Q111" s="6">
        <v>45084</v>
      </c>
      <c r="R111" s="6">
        <v>45093</v>
      </c>
      <c r="S111" s="4" t="s">
        <v>66</v>
      </c>
      <c r="T111" s="4" t="s">
        <v>56</v>
      </c>
      <c r="U111" s="4" t="s">
        <v>67</v>
      </c>
      <c r="V111" s="4" t="s">
        <v>125</v>
      </c>
    </row>
    <row r="112" spans="1:22" ht="18" customHeight="1" x14ac:dyDescent="0.3">
      <c r="A112" s="25" t="s">
        <v>479</v>
      </c>
      <c r="B112" s="25" t="s">
        <v>480</v>
      </c>
      <c r="C112" s="26" t="s">
        <v>481</v>
      </c>
      <c r="D112" s="26" t="s">
        <v>3</v>
      </c>
      <c r="E112" s="26" t="s">
        <v>3</v>
      </c>
      <c r="F112" s="26" t="s">
        <v>52</v>
      </c>
      <c r="G112" s="26" t="s">
        <v>53</v>
      </c>
      <c r="H112" s="26" t="s">
        <v>378</v>
      </c>
      <c r="I112" s="25">
        <v>4</v>
      </c>
      <c r="J112" s="27">
        <v>3224.57</v>
      </c>
      <c r="K112" s="27">
        <v>10</v>
      </c>
      <c r="L112" s="27">
        <v>2902.11</v>
      </c>
      <c r="M112" s="27">
        <v>11608.44</v>
      </c>
      <c r="N112" s="27">
        <v>6965.76</v>
      </c>
      <c r="O112" s="27">
        <v>4642.68</v>
      </c>
      <c r="P112" s="28">
        <v>39.99</v>
      </c>
      <c r="Q112" s="29">
        <v>45570</v>
      </c>
      <c r="R112" s="29">
        <v>45576</v>
      </c>
      <c r="S112" s="26" t="s">
        <v>76</v>
      </c>
      <c r="T112" s="26" t="s">
        <v>56</v>
      </c>
      <c r="U112" s="26" t="s">
        <v>77</v>
      </c>
      <c r="V112" s="26" t="s">
        <v>58</v>
      </c>
    </row>
    <row r="113" spans="1:22" ht="18" customHeight="1" x14ac:dyDescent="0.3">
      <c r="A113" s="3" t="s">
        <v>482</v>
      </c>
      <c r="B113" s="3" t="s">
        <v>483</v>
      </c>
      <c r="C113" s="4" t="s">
        <v>484</v>
      </c>
      <c r="D113" s="4" t="s">
        <v>4</v>
      </c>
      <c r="E113" s="4" t="s">
        <v>62</v>
      </c>
      <c r="F113" s="4" t="s">
        <v>63</v>
      </c>
      <c r="G113" s="4" t="s">
        <v>64</v>
      </c>
      <c r="H113" s="4" t="s">
        <v>207</v>
      </c>
      <c r="I113" s="3">
        <v>4</v>
      </c>
      <c r="J113" s="5">
        <v>34985.160000000003</v>
      </c>
      <c r="K113" s="5">
        <v>20</v>
      </c>
      <c r="L113" s="5">
        <v>27988.13</v>
      </c>
      <c r="M113" s="5">
        <v>111952.52</v>
      </c>
      <c r="N113" s="5">
        <v>55488.7</v>
      </c>
      <c r="O113" s="5">
        <v>56463.82</v>
      </c>
      <c r="P113" s="24">
        <v>50.44</v>
      </c>
      <c r="Q113" s="6">
        <v>45275</v>
      </c>
      <c r="R113" s="6">
        <v>45280</v>
      </c>
      <c r="S113" s="4" t="s">
        <v>86</v>
      </c>
      <c r="T113" s="4" t="s">
        <v>56</v>
      </c>
      <c r="U113" s="4" t="s">
        <v>87</v>
      </c>
      <c r="V113" s="4" t="s">
        <v>68</v>
      </c>
    </row>
    <row r="114" spans="1:22" ht="18" customHeight="1" x14ac:dyDescent="0.3">
      <c r="A114" s="25" t="s">
        <v>485</v>
      </c>
      <c r="B114" s="25" t="s">
        <v>486</v>
      </c>
      <c r="C114" s="26" t="s">
        <v>487</v>
      </c>
      <c r="D114" s="26" t="s">
        <v>5</v>
      </c>
      <c r="E114" s="26" t="s">
        <v>72</v>
      </c>
      <c r="F114" s="26" t="s">
        <v>73</v>
      </c>
      <c r="G114" s="26" t="s">
        <v>74</v>
      </c>
      <c r="H114" s="26" t="s">
        <v>455</v>
      </c>
      <c r="I114" s="25">
        <v>4</v>
      </c>
      <c r="J114" s="27">
        <v>41318.720000000001</v>
      </c>
      <c r="K114" s="27">
        <v>25</v>
      </c>
      <c r="L114" s="27">
        <v>30989.040000000001</v>
      </c>
      <c r="M114" s="27">
        <v>123956.16</v>
      </c>
      <c r="N114" s="27">
        <v>67904.63</v>
      </c>
      <c r="O114" s="27">
        <v>56051.53</v>
      </c>
      <c r="P114" s="28">
        <v>45.22</v>
      </c>
      <c r="Q114" s="29">
        <v>45279</v>
      </c>
      <c r="R114" s="29">
        <v>45288</v>
      </c>
      <c r="S114" s="26" t="s">
        <v>55</v>
      </c>
      <c r="T114" s="26" t="s">
        <v>56</v>
      </c>
      <c r="U114" s="26" t="s">
        <v>57</v>
      </c>
      <c r="V114" s="26" t="s">
        <v>78</v>
      </c>
    </row>
    <row r="115" spans="1:22" ht="18" customHeight="1" x14ac:dyDescent="0.3">
      <c r="A115" s="3" t="s">
        <v>488</v>
      </c>
      <c r="B115" s="3" t="s">
        <v>489</v>
      </c>
      <c r="C115" s="4" t="s">
        <v>490</v>
      </c>
      <c r="D115" s="4" t="s">
        <v>6</v>
      </c>
      <c r="E115" s="4" t="s">
        <v>82</v>
      </c>
      <c r="F115" s="4" t="s">
        <v>83</v>
      </c>
      <c r="G115" s="4" t="s">
        <v>84</v>
      </c>
      <c r="H115" s="4" t="s">
        <v>491</v>
      </c>
      <c r="I115" s="3">
        <v>10</v>
      </c>
      <c r="J115" s="5">
        <v>31422.36</v>
      </c>
      <c r="K115" s="5">
        <v>25</v>
      </c>
      <c r="L115" s="5">
        <v>23566.77</v>
      </c>
      <c r="M115" s="5">
        <v>235667.7</v>
      </c>
      <c r="N115" s="5">
        <v>152421.24</v>
      </c>
      <c r="O115" s="5">
        <v>83246.460000000006</v>
      </c>
      <c r="P115" s="24">
        <v>35.32</v>
      </c>
      <c r="Q115" s="6">
        <v>45240</v>
      </c>
      <c r="R115" s="6">
        <v>45243</v>
      </c>
      <c r="S115" s="4" t="s">
        <v>66</v>
      </c>
      <c r="T115" s="4" t="s">
        <v>56</v>
      </c>
      <c r="U115" s="4" t="s">
        <v>67</v>
      </c>
      <c r="V115" s="4" t="s">
        <v>88</v>
      </c>
    </row>
    <row r="116" spans="1:22" ht="18" customHeight="1" x14ac:dyDescent="0.3">
      <c r="A116" s="25" t="s">
        <v>492</v>
      </c>
      <c r="B116" s="25" t="s">
        <v>493</v>
      </c>
      <c r="C116" s="26" t="s">
        <v>494</v>
      </c>
      <c r="D116" s="26" t="s">
        <v>7</v>
      </c>
      <c r="E116" s="26" t="s">
        <v>92</v>
      </c>
      <c r="F116" s="26" t="s">
        <v>93</v>
      </c>
      <c r="G116" s="26" t="s">
        <v>94</v>
      </c>
      <c r="H116" s="26" t="s">
        <v>291</v>
      </c>
      <c r="I116" s="25">
        <v>10</v>
      </c>
      <c r="J116" s="27">
        <v>31444.26</v>
      </c>
      <c r="K116" s="27">
        <v>0</v>
      </c>
      <c r="L116" s="27">
        <v>31444.26</v>
      </c>
      <c r="M116" s="27">
        <v>314442.59999999998</v>
      </c>
      <c r="N116" s="27">
        <v>218872.57</v>
      </c>
      <c r="O116" s="27">
        <v>95570.03</v>
      </c>
      <c r="P116" s="28">
        <v>30.39</v>
      </c>
      <c r="Q116" s="29">
        <v>45089</v>
      </c>
      <c r="R116" s="29">
        <v>45099</v>
      </c>
      <c r="S116" s="26" t="s">
        <v>76</v>
      </c>
      <c r="T116" s="26" t="s">
        <v>56</v>
      </c>
      <c r="U116" s="26" t="s">
        <v>77</v>
      </c>
      <c r="V116" s="26" t="s">
        <v>96</v>
      </c>
    </row>
    <row r="117" spans="1:22" ht="18" customHeight="1" x14ac:dyDescent="0.3">
      <c r="A117" s="3" t="s">
        <v>495</v>
      </c>
      <c r="B117" s="3" t="s">
        <v>496</v>
      </c>
      <c r="C117" s="4" t="s">
        <v>266</v>
      </c>
      <c r="D117" s="4" t="s">
        <v>8</v>
      </c>
      <c r="E117" s="4" t="s">
        <v>100</v>
      </c>
      <c r="F117" s="4" t="s">
        <v>52</v>
      </c>
      <c r="G117" s="4" t="s">
        <v>53</v>
      </c>
      <c r="H117" s="4" t="s">
        <v>260</v>
      </c>
      <c r="I117" s="3">
        <v>8</v>
      </c>
      <c r="J117" s="5">
        <v>1498.01</v>
      </c>
      <c r="K117" s="5">
        <v>20</v>
      </c>
      <c r="L117" s="5">
        <v>1198.4100000000001</v>
      </c>
      <c r="M117" s="5">
        <v>9587.2800000000007</v>
      </c>
      <c r="N117" s="5">
        <v>5391.43</v>
      </c>
      <c r="O117" s="5">
        <v>4195.8500000000004</v>
      </c>
      <c r="P117" s="24">
        <v>43.76</v>
      </c>
      <c r="Q117" s="6">
        <v>45006</v>
      </c>
      <c r="R117" s="6">
        <v>45007</v>
      </c>
      <c r="S117" s="4" t="s">
        <v>86</v>
      </c>
      <c r="T117" s="4" t="s">
        <v>56</v>
      </c>
      <c r="U117" s="4" t="s">
        <v>87</v>
      </c>
      <c r="V117" s="4" t="s">
        <v>103</v>
      </c>
    </row>
    <row r="118" spans="1:22" ht="18" customHeight="1" x14ac:dyDescent="0.3">
      <c r="A118" s="25" t="s">
        <v>497</v>
      </c>
      <c r="B118" s="25" t="s">
        <v>498</v>
      </c>
      <c r="C118" s="26" t="s">
        <v>499</v>
      </c>
      <c r="D118" s="26" t="s">
        <v>23</v>
      </c>
      <c r="E118" s="26" t="s">
        <v>107</v>
      </c>
      <c r="F118" s="26" t="s">
        <v>63</v>
      </c>
      <c r="G118" s="26" t="s">
        <v>64</v>
      </c>
      <c r="H118" s="26" t="s">
        <v>171</v>
      </c>
      <c r="I118" s="25">
        <v>2</v>
      </c>
      <c r="J118" s="27">
        <v>8178.21</v>
      </c>
      <c r="K118" s="27">
        <v>30</v>
      </c>
      <c r="L118" s="27">
        <v>5724.75</v>
      </c>
      <c r="M118" s="27">
        <v>11449.5</v>
      </c>
      <c r="N118" s="27">
        <v>5391.38</v>
      </c>
      <c r="O118" s="27">
        <v>6058.12</v>
      </c>
      <c r="P118" s="28">
        <v>52.91</v>
      </c>
      <c r="Q118" s="29">
        <v>45201</v>
      </c>
      <c r="R118" s="29">
        <v>45204</v>
      </c>
      <c r="S118" s="26" t="s">
        <v>55</v>
      </c>
      <c r="T118" s="26" t="s">
        <v>102</v>
      </c>
      <c r="U118" s="26" t="s">
        <v>57</v>
      </c>
      <c r="V118" s="26" t="s">
        <v>109</v>
      </c>
    </row>
    <row r="119" spans="1:22" ht="18" customHeight="1" x14ac:dyDescent="0.3">
      <c r="A119" s="3" t="s">
        <v>500</v>
      </c>
      <c r="B119" s="3" t="s">
        <v>501</v>
      </c>
      <c r="C119" s="4" t="s">
        <v>502</v>
      </c>
      <c r="D119" s="4" t="s">
        <v>24</v>
      </c>
      <c r="E119" s="4" t="s">
        <v>113</v>
      </c>
      <c r="F119" s="4" t="s">
        <v>73</v>
      </c>
      <c r="G119" s="4" t="s">
        <v>74</v>
      </c>
      <c r="H119" s="4" t="s">
        <v>351</v>
      </c>
      <c r="I119" s="3">
        <v>2</v>
      </c>
      <c r="J119" s="5">
        <v>18395.189999999999</v>
      </c>
      <c r="K119" s="5">
        <v>10</v>
      </c>
      <c r="L119" s="5">
        <v>16555.669999999998</v>
      </c>
      <c r="M119" s="5">
        <v>33111.339999999997</v>
      </c>
      <c r="N119" s="5">
        <v>23087.52</v>
      </c>
      <c r="O119" s="5">
        <v>10023.82</v>
      </c>
      <c r="P119" s="24">
        <v>30.27</v>
      </c>
      <c r="Q119" s="6">
        <v>45037</v>
      </c>
      <c r="R119" s="6">
        <v>45044</v>
      </c>
      <c r="S119" s="4" t="s">
        <v>66</v>
      </c>
      <c r="T119" s="4" t="s">
        <v>56</v>
      </c>
      <c r="U119" s="4" t="s">
        <v>67</v>
      </c>
      <c r="V119" s="4" t="s">
        <v>115</v>
      </c>
    </row>
    <row r="120" spans="1:22" ht="18" customHeight="1" x14ac:dyDescent="0.3">
      <c r="A120" s="25" t="s">
        <v>503</v>
      </c>
      <c r="B120" s="25" t="s">
        <v>504</v>
      </c>
      <c r="C120" s="26" t="s">
        <v>505</v>
      </c>
      <c r="D120" s="26" t="s">
        <v>25</v>
      </c>
      <c r="E120" s="26" t="s">
        <v>107</v>
      </c>
      <c r="F120" s="26" t="s">
        <v>83</v>
      </c>
      <c r="G120" s="26" t="s">
        <v>84</v>
      </c>
      <c r="H120" s="26" t="s">
        <v>85</v>
      </c>
      <c r="I120" s="25">
        <v>10</v>
      </c>
      <c r="J120" s="27">
        <v>34927.230000000003</v>
      </c>
      <c r="K120" s="27">
        <v>10</v>
      </c>
      <c r="L120" s="27">
        <v>31434.51</v>
      </c>
      <c r="M120" s="27">
        <v>314345.09999999998</v>
      </c>
      <c r="N120" s="27">
        <v>167350.54</v>
      </c>
      <c r="O120" s="27">
        <v>146994.56</v>
      </c>
      <c r="P120" s="28">
        <v>46.76</v>
      </c>
      <c r="Q120" s="29">
        <v>45610</v>
      </c>
      <c r="R120" s="29">
        <v>45613</v>
      </c>
      <c r="S120" s="26" t="s">
        <v>76</v>
      </c>
      <c r="T120" s="26" t="s">
        <v>56</v>
      </c>
      <c r="U120" s="26" t="s">
        <v>77</v>
      </c>
      <c r="V120" s="26" t="s">
        <v>120</v>
      </c>
    </row>
    <row r="121" spans="1:22" ht="18" customHeight="1" x14ac:dyDescent="0.3">
      <c r="A121" s="3" t="s">
        <v>506</v>
      </c>
      <c r="B121" s="3" t="s">
        <v>507</v>
      </c>
      <c r="C121" s="4" t="s">
        <v>508</v>
      </c>
      <c r="D121" s="4" t="s">
        <v>9</v>
      </c>
      <c r="E121" s="4" t="s">
        <v>62</v>
      </c>
      <c r="F121" s="4" t="s">
        <v>93</v>
      </c>
      <c r="G121" s="4" t="s">
        <v>94</v>
      </c>
      <c r="H121" s="4" t="s">
        <v>509</v>
      </c>
      <c r="I121" s="3">
        <v>9</v>
      </c>
      <c r="J121" s="5">
        <v>36496.82</v>
      </c>
      <c r="K121" s="5">
        <v>25</v>
      </c>
      <c r="L121" s="5">
        <v>27372.61</v>
      </c>
      <c r="M121" s="5">
        <v>246353.49</v>
      </c>
      <c r="N121" s="5">
        <v>116622.47</v>
      </c>
      <c r="O121" s="5">
        <v>129731.02</v>
      </c>
      <c r="P121" s="24">
        <v>52.66</v>
      </c>
      <c r="Q121" s="6">
        <v>45148</v>
      </c>
      <c r="R121" s="6">
        <v>45152</v>
      </c>
      <c r="S121" s="4" t="s">
        <v>86</v>
      </c>
      <c r="T121" s="4" t="s">
        <v>56</v>
      </c>
      <c r="U121" s="4" t="s">
        <v>87</v>
      </c>
      <c r="V121" s="4" t="s">
        <v>125</v>
      </c>
    </row>
    <row r="122" spans="1:22" ht="18" customHeight="1" x14ac:dyDescent="0.3">
      <c r="A122" s="25" t="s">
        <v>510</v>
      </c>
      <c r="B122" s="25" t="s">
        <v>511</v>
      </c>
      <c r="C122" s="26" t="s">
        <v>512</v>
      </c>
      <c r="D122" s="26" t="s">
        <v>3</v>
      </c>
      <c r="E122" s="26" t="s">
        <v>3</v>
      </c>
      <c r="F122" s="26" t="s">
        <v>52</v>
      </c>
      <c r="G122" s="26" t="s">
        <v>53</v>
      </c>
      <c r="H122" s="26" t="s">
        <v>54</v>
      </c>
      <c r="I122" s="25">
        <v>6</v>
      </c>
      <c r="J122" s="27">
        <v>9905.89</v>
      </c>
      <c r="K122" s="27">
        <v>15</v>
      </c>
      <c r="L122" s="27">
        <v>8420.01</v>
      </c>
      <c r="M122" s="27">
        <v>50520.06</v>
      </c>
      <c r="N122" s="27">
        <v>30663.53</v>
      </c>
      <c r="O122" s="27">
        <v>19856.53</v>
      </c>
      <c r="P122" s="28">
        <v>39.299999999999997</v>
      </c>
      <c r="Q122" s="29">
        <v>45599</v>
      </c>
      <c r="R122" s="29">
        <v>45604</v>
      </c>
      <c r="S122" s="26" t="s">
        <v>55</v>
      </c>
      <c r="T122" s="26" t="s">
        <v>56</v>
      </c>
      <c r="U122" s="26" t="s">
        <v>57</v>
      </c>
      <c r="V122" s="26" t="s">
        <v>58</v>
      </c>
    </row>
    <row r="123" spans="1:22" ht="18" customHeight="1" x14ac:dyDescent="0.3">
      <c r="A123" s="3" t="s">
        <v>513</v>
      </c>
      <c r="B123" s="3" t="s">
        <v>514</v>
      </c>
      <c r="C123" s="4" t="s">
        <v>515</v>
      </c>
      <c r="D123" s="4" t="s">
        <v>4</v>
      </c>
      <c r="E123" s="4" t="s">
        <v>62</v>
      </c>
      <c r="F123" s="4" t="s">
        <v>63</v>
      </c>
      <c r="G123" s="4" t="s">
        <v>64</v>
      </c>
      <c r="H123" s="4" t="s">
        <v>207</v>
      </c>
      <c r="I123" s="3">
        <v>3</v>
      </c>
      <c r="J123" s="5">
        <v>42038.73</v>
      </c>
      <c r="K123" s="5">
        <v>25</v>
      </c>
      <c r="L123" s="5">
        <v>31529.05</v>
      </c>
      <c r="M123" s="5">
        <v>94587.15</v>
      </c>
      <c r="N123" s="5">
        <v>56559.79</v>
      </c>
      <c r="O123" s="5">
        <v>38027.360000000001</v>
      </c>
      <c r="P123" s="24">
        <v>40.200000000000003</v>
      </c>
      <c r="Q123" s="6">
        <v>45192</v>
      </c>
      <c r="R123" s="6">
        <v>45200</v>
      </c>
      <c r="S123" s="4" t="s">
        <v>66</v>
      </c>
      <c r="T123" s="4" t="s">
        <v>56</v>
      </c>
      <c r="U123" s="4" t="s">
        <v>67</v>
      </c>
      <c r="V123" s="4" t="s">
        <v>68</v>
      </c>
    </row>
    <row r="124" spans="1:22" ht="18" customHeight="1" x14ac:dyDescent="0.3">
      <c r="A124" s="25" t="s">
        <v>516</v>
      </c>
      <c r="B124" s="25" t="s">
        <v>517</v>
      </c>
      <c r="C124" s="26" t="s">
        <v>518</v>
      </c>
      <c r="D124" s="26" t="s">
        <v>5</v>
      </c>
      <c r="E124" s="26" t="s">
        <v>72</v>
      </c>
      <c r="F124" s="26" t="s">
        <v>73</v>
      </c>
      <c r="G124" s="26" t="s">
        <v>74</v>
      </c>
      <c r="H124" s="26" t="s">
        <v>267</v>
      </c>
      <c r="I124" s="25">
        <v>1</v>
      </c>
      <c r="J124" s="27">
        <v>35401.129999999997</v>
      </c>
      <c r="K124" s="27">
        <v>20</v>
      </c>
      <c r="L124" s="27">
        <v>28320.9</v>
      </c>
      <c r="M124" s="27">
        <v>28320.9</v>
      </c>
      <c r="N124" s="27">
        <v>18650.330000000002</v>
      </c>
      <c r="O124" s="27">
        <v>9670.57</v>
      </c>
      <c r="P124" s="28">
        <v>34.15</v>
      </c>
      <c r="Q124" s="29">
        <v>45599</v>
      </c>
      <c r="R124" s="29">
        <v>45603</v>
      </c>
      <c r="S124" s="26" t="s">
        <v>76</v>
      </c>
      <c r="T124" s="26" t="s">
        <v>56</v>
      </c>
      <c r="U124" s="26" t="s">
        <v>77</v>
      </c>
      <c r="V124" s="26" t="s">
        <v>78</v>
      </c>
    </row>
    <row r="125" spans="1:22" ht="18" customHeight="1" x14ac:dyDescent="0.3">
      <c r="A125" s="3" t="s">
        <v>519</v>
      </c>
      <c r="B125" s="3" t="s">
        <v>520</v>
      </c>
      <c r="C125" s="4" t="s">
        <v>521</v>
      </c>
      <c r="D125" s="4" t="s">
        <v>6</v>
      </c>
      <c r="E125" s="4" t="s">
        <v>82</v>
      </c>
      <c r="F125" s="4" t="s">
        <v>83</v>
      </c>
      <c r="G125" s="4" t="s">
        <v>84</v>
      </c>
      <c r="H125" s="4" t="s">
        <v>522</v>
      </c>
      <c r="I125" s="3">
        <v>6</v>
      </c>
      <c r="J125" s="5">
        <v>47640.17</v>
      </c>
      <c r="K125" s="5">
        <v>0</v>
      </c>
      <c r="L125" s="5">
        <v>47640.17</v>
      </c>
      <c r="M125" s="5">
        <v>285841.02</v>
      </c>
      <c r="N125" s="5">
        <v>210297.25</v>
      </c>
      <c r="O125" s="5">
        <v>75543.77</v>
      </c>
      <c r="P125" s="24">
        <v>26.43</v>
      </c>
      <c r="Q125" s="6">
        <v>45546</v>
      </c>
      <c r="R125" s="6">
        <v>45547</v>
      </c>
      <c r="S125" s="4" t="s">
        <v>86</v>
      </c>
      <c r="T125" s="4" t="s">
        <v>56</v>
      </c>
      <c r="U125" s="4" t="s">
        <v>87</v>
      </c>
      <c r="V125" s="4" t="s">
        <v>88</v>
      </c>
    </row>
    <row r="126" spans="1:22" ht="18" customHeight="1" x14ac:dyDescent="0.3">
      <c r="A126" s="25" t="s">
        <v>523</v>
      </c>
      <c r="B126" s="25" t="s">
        <v>524</v>
      </c>
      <c r="C126" s="26" t="s">
        <v>525</v>
      </c>
      <c r="D126" s="26" t="s">
        <v>7</v>
      </c>
      <c r="E126" s="26" t="s">
        <v>92</v>
      </c>
      <c r="F126" s="26" t="s">
        <v>93</v>
      </c>
      <c r="G126" s="26" t="s">
        <v>94</v>
      </c>
      <c r="H126" s="26" t="s">
        <v>358</v>
      </c>
      <c r="I126" s="25">
        <v>7</v>
      </c>
      <c r="J126" s="27">
        <v>41745.83</v>
      </c>
      <c r="K126" s="27">
        <v>15</v>
      </c>
      <c r="L126" s="27">
        <v>35483.96</v>
      </c>
      <c r="M126" s="27">
        <v>248387.72</v>
      </c>
      <c r="N126" s="27">
        <v>114763.96</v>
      </c>
      <c r="O126" s="27">
        <v>133623.76</v>
      </c>
      <c r="P126" s="28">
        <v>53.8</v>
      </c>
      <c r="Q126" s="29">
        <v>44941</v>
      </c>
      <c r="R126" s="29">
        <v>44947</v>
      </c>
      <c r="S126" s="26" t="s">
        <v>55</v>
      </c>
      <c r="T126" s="26" t="s">
        <v>235</v>
      </c>
      <c r="U126" s="26" t="s">
        <v>57</v>
      </c>
      <c r="V126" s="26" t="s">
        <v>96</v>
      </c>
    </row>
    <row r="127" spans="1:22" ht="18" customHeight="1" x14ac:dyDescent="0.3">
      <c r="A127" s="3" t="s">
        <v>526</v>
      </c>
      <c r="B127" s="3" t="s">
        <v>527</v>
      </c>
      <c r="C127" s="4" t="s">
        <v>259</v>
      </c>
      <c r="D127" s="4" t="s">
        <v>8</v>
      </c>
      <c r="E127" s="4" t="s">
        <v>100</v>
      </c>
      <c r="F127" s="4" t="s">
        <v>52</v>
      </c>
      <c r="G127" s="4" t="s">
        <v>53</v>
      </c>
      <c r="H127" s="4" t="s">
        <v>528</v>
      </c>
      <c r="I127" s="3">
        <v>10</v>
      </c>
      <c r="J127" s="5">
        <v>49531.519999999997</v>
      </c>
      <c r="K127" s="5">
        <v>25</v>
      </c>
      <c r="L127" s="5">
        <v>37148.639999999999</v>
      </c>
      <c r="M127" s="5">
        <v>371486.4</v>
      </c>
      <c r="N127" s="5">
        <v>199758.73</v>
      </c>
      <c r="O127" s="5">
        <v>171727.67</v>
      </c>
      <c r="P127" s="24">
        <v>46.23</v>
      </c>
      <c r="Q127" s="6">
        <v>45391</v>
      </c>
      <c r="R127" s="6">
        <v>45394</v>
      </c>
      <c r="S127" s="4" t="s">
        <v>66</v>
      </c>
      <c r="T127" s="4" t="s">
        <v>56</v>
      </c>
      <c r="U127" s="4" t="s">
        <v>67</v>
      </c>
      <c r="V127" s="4" t="s">
        <v>103</v>
      </c>
    </row>
    <row r="128" spans="1:22" ht="18" customHeight="1" x14ac:dyDescent="0.3">
      <c r="A128" s="25" t="s">
        <v>529</v>
      </c>
      <c r="B128" s="25" t="s">
        <v>530</v>
      </c>
      <c r="C128" s="26" t="s">
        <v>531</v>
      </c>
      <c r="D128" s="26" t="s">
        <v>23</v>
      </c>
      <c r="E128" s="26" t="s">
        <v>107</v>
      </c>
      <c r="F128" s="26" t="s">
        <v>63</v>
      </c>
      <c r="G128" s="26" t="s">
        <v>64</v>
      </c>
      <c r="H128" s="26" t="s">
        <v>171</v>
      </c>
      <c r="I128" s="25">
        <v>2</v>
      </c>
      <c r="J128" s="27">
        <v>8444.3700000000008</v>
      </c>
      <c r="K128" s="27">
        <v>30</v>
      </c>
      <c r="L128" s="27">
        <v>5911.06</v>
      </c>
      <c r="M128" s="27">
        <v>11822.12</v>
      </c>
      <c r="N128" s="27">
        <v>5782.26</v>
      </c>
      <c r="O128" s="27">
        <v>6039.86</v>
      </c>
      <c r="P128" s="28">
        <v>51.09</v>
      </c>
      <c r="Q128" s="29">
        <v>45406</v>
      </c>
      <c r="R128" s="29">
        <v>45407</v>
      </c>
      <c r="S128" s="26" t="s">
        <v>76</v>
      </c>
      <c r="T128" s="26" t="s">
        <v>56</v>
      </c>
      <c r="U128" s="26" t="s">
        <v>77</v>
      </c>
      <c r="V128" s="26" t="s">
        <v>109</v>
      </c>
    </row>
    <row r="129" spans="1:22" ht="18" customHeight="1" x14ac:dyDescent="0.3">
      <c r="A129" s="3" t="s">
        <v>532</v>
      </c>
      <c r="B129" s="3" t="s">
        <v>533</v>
      </c>
      <c r="C129" s="4" t="s">
        <v>144</v>
      </c>
      <c r="D129" s="4" t="s">
        <v>24</v>
      </c>
      <c r="E129" s="4" t="s">
        <v>113</v>
      </c>
      <c r="F129" s="4" t="s">
        <v>73</v>
      </c>
      <c r="G129" s="4" t="s">
        <v>74</v>
      </c>
      <c r="H129" s="4" t="s">
        <v>230</v>
      </c>
      <c r="I129" s="3">
        <v>7</v>
      </c>
      <c r="J129" s="5">
        <v>1252.1199999999999</v>
      </c>
      <c r="K129" s="5">
        <v>0</v>
      </c>
      <c r="L129" s="5">
        <v>1252.1199999999999</v>
      </c>
      <c r="M129" s="5">
        <v>8764.84</v>
      </c>
      <c r="N129" s="5">
        <v>4157.3100000000004</v>
      </c>
      <c r="O129" s="5">
        <v>4607.53</v>
      </c>
      <c r="P129" s="24">
        <v>52.57</v>
      </c>
      <c r="Q129" s="6">
        <v>45548</v>
      </c>
      <c r="R129" s="6">
        <v>45554</v>
      </c>
      <c r="S129" s="4" t="s">
        <v>86</v>
      </c>
      <c r="T129" s="4" t="s">
        <v>56</v>
      </c>
      <c r="U129" s="4" t="s">
        <v>87</v>
      </c>
      <c r="V129" s="4" t="s">
        <v>115</v>
      </c>
    </row>
    <row r="130" spans="1:22" ht="18" customHeight="1" x14ac:dyDescent="0.3">
      <c r="A130" s="25" t="s">
        <v>534</v>
      </c>
      <c r="B130" s="25" t="s">
        <v>122</v>
      </c>
      <c r="C130" s="26" t="s">
        <v>535</v>
      </c>
      <c r="D130" s="26" t="s">
        <v>25</v>
      </c>
      <c r="E130" s="26" t="s">
        <v>107</v>
      </c>
      <c r="F130" s="26" t="s">
        <v>83</v>
      </c>
      <c r="G130" s="26" t="s">
        <v>84</v>
      </c>
      <c r="H130" s="26" t="s">
        <v>536</v>
      </c>
      <c r="I130" s="25">
        <v>9</v>
      </c>
      <c r="J130" s="27">
        <v>7675.87</v>
      </c>
      <c r="K130" s="27">
        <v>5</v>
      </c>
      <c r="L130" s="27">
        <v>7292.08</v>
      </c>
      <c r="M130" s="27">
        <v>65628.72</v>
      </c>
      <c r="N130" s="27">
        <v>33454.75</v>
      </c>
      <c r="O130" s="27">
        <v>32173.97</v>
      </c>
      <c r="P130" s="28">
        <v>49.02</v>
      </c>
      <c r="Q130" s="29">
        <v>45201</v>
      </c>
      <c r="R130" s="29">
        <v>45203</v>
      </c>
      <c r="S130" s="26" t="s">
        <v>55</v>
      </c>
      <c r="T130" s="26" t="s">
        <v>56</v>
      </c>
      <c r="U130" s="26" t="s">
        <v>57</v>
      </c>
      <c r="V130" s="26" t="s">
        <v>120</v>
      </c>
    </row>
    <row r="131" spans="1:22" ht="18" customHeight="1" x14ac:dyDescent="0.3">
      <c r="A131" s="3" t="s">
        <v>537</v>
      </c>
      <c r="B131" s="3" t="s">
        <v>538</v>
      </c>
      <c r="C131" s="4" t="s">
        <v>539</v>
      </c>
      <c r="D131" s="4" t="s">
        <v>9</v>
      </c>
      <c r="E131" s="4" t="s">
        <v>62</v>
      </c>
      <c r="F131" s="4" t="s">
        <v>93</v>
      </c>
      <c r="G131" s="4" t="s">
        <v>94</v>
      </c>
      <c r="H131" s="4" t="s">
        <v>443</v>
      </c>
      <c r="I131" s="3">
        <v>4</v>
      </c>
      <c r="J131" s="5">
        <v>38909.49</v>
      </c>
      <c r="K131" s="5">
        <v>0</v>
      </c>
      <c r="L131" s="5">
        <v>38909.49</v>
      </c>
      <c r="M131" s="5">
        <v>155637.96</v>
      </c>
      <c r="N131" s="5">
        <v>97483.79</v>
      </c>
      <c r="O131" s="5">
        <v>58154.17</v>
      </c>
      <c r="P131" s="24">
        <v>37.369999999999997</v>
      </c>
      <c r="Q131" s="6">
        <v>45515</v>
      </c>
      <c r="R131" s="6">
        <v>45517</v>
      </c>
      <c r="S131" s="4" t="s">
        <v>66</v>
      </c>
      <c r="T131" s="4" t="s">
        <v>56</v>
      </c>
      <c r="U131" s="4" t="s">
        <v>67</v>
      </c>
      <c r="V131" s="4" t="s">
        <v>125</v>
      </c>
    </row>
    <row r="132" spans="1:22" ht="18" customHeight="1" x14ac:dyDescent="0.3">
      <c r="A132" s="25" t="s">
        <v>540</v>
      </c>
      <c r="B132" s="25" t="s">
        <v>541</v>
      </c>
      <c r="C132" s="26" t="s">
        <v>542</v>
      </c>
      <c r="D132" s="26" t="s">
        <v>3</v>
      </c>
      <c r="E132" s="26" t="s">
        <v>3</v>
      </c>
      <c r="F132" s="26" t="s">
        <v>52</v>
      </c>
      <c r="G132" s="26" t="s">
        <v>53</v>
      </c>
      <c r="H132" s="26" t="s">
        <v>54</v>
      </c>
      <c r="I132" s="25">
        <v>7</v>
      </c>
      <c r="J132" s="27">
        <v>40161.93</v>
      </c>
      <c r="K132" s="27">
        <v>20</v>
      </c>
      <c r="L132" s="27">
        <v>32129.54</v>
      </c>
      <c r="M132" s="27">
        <v>224906.78</v>
      </c>
      <c r="N132" s="27">
        <v>113618.21</v>
      </c>
      <c r="O132" s="27">
        <v>111288.57</v>
      </c>
      <c r="P132" s="28">
        <v>49.48</v>
      </c>
      <c r="Q132" s="29">
        <v>45206</v>
      </c>
      <c r="R132" s="29">
        <v>45213</v>
      </c>
      <c r="S132" s="26" t="s">
        <v>76</v>
      </c>
      <c r="T132" s="26" t="s">
        <v>56</v>
      </c>
      <c r="U132" s="26" t="s">
        <v>77</v>
      </c>
      <c r="V132" s="26" t="s">
        <v>58</v>
      </c>
    </row>
    <row r="133" spans="1:22" ht="18" customHeight="1" x14ac:dyDescent="0.3">
      <c r="A133" s="3" t="s">
        <v>543</v>
      </c>
      <c r="B133" s="3" t="s">
        <v>544</v>
      </c>
      <c r="C133" s="4" t="s">
        <v>81</v>
      </c>
      <c r="D133" s="4" t="s">
        <v>4</v>
      </c>
      <c r="E133" s="4" t="s">
        <v>62</v>
      </c>
      <c r="F133" s="4" t="s">
        <v>63</v>
      </c>
      <c r="G133" s="4" t="s">
        <v>64</v>
      </c>
      <c r="H133" s="4" t="s">
        <v>545</v>
      </c>
      <c r="I133" s="3">
        <v>7</v>
      </c>
      <c r="J133" s="5">
        <v>39800.699999999997</v>
      </c>
      <c r="K133" s="5">
        <v>10</v>
      </c>
      <c r="L133" s="5">
        <v>35820.629999999997</v>
      </c>
      <c r="M133" s="5">
        <v>250744.41</v>
      </c>
      <c r="N133" s="5">
        <v>170712.26</v>
      </c>
      <c r="O133" s="5">
        <v>80032.149999999994</v>
      </c>
      <c r="P133" s="24">
        <v>31.92</v>
      </c>
      <c r="Q133" s="6">
        <v>45273</v>
      </c>
      <c r="R133" s="6">
        <v>45280</v>
      </c>
      <c r="S133" s="4" t="s">
        <v>86</v>
      </c>
      <c r="T133" s="4" t="s">
        <v>56</v>
      </c>
      <c r="U133" s="4" t="s">
        <v>87</v>
      </c>
      <c r="V133" s="4" t="s">
        <v>68</v>
      </c>
    </row>
    <row r="134" spans="1:22" ht="18" customHeight="1" x14ac:dyDescent="0.3">
      <c r="A134" s="25" t="s">
        <v>546</v>
      </c>
      <c r="B134" s="25" t="s">
        <v>547</v>
      </c>
      <c r="C134" s="26" t="s">
        <v>548</v>
      </c>
      <c r="D134" s="26" t="s">
        <v>5</v>
      </c>
      <c r="E134" s="26" t="s">
        <v>72</v>
      </c>
      <c r="F134" s="26" t="s">
        <v>73</v>
      </c>
      <c r="G134" s="26" t="s">
        <v>74</v>
      </c>
      <c r="H134" s="26" t="s">
        <v>230</v>
      </c>
      <c r="I134" s="25">
        <v>9</v>
      </c>
      <c r="J134" s="27">
        <v>48269.599999999999</v>
      </c>
      <c r="K134" s="27">
        <v>25</v>
      </c>
      <c r="L134" s="27">
        <v>36202.199999999997</v>
      </c>
      <c r="M134" s="27">
        <v>325819.8</v>
      </c>
      <c r="N134" s="27">
        <v>149662.22</v>
      </c>
      <c r="O134" s="27">
        <v>176157.58</v>
      </c>
      <c r="P134" s="28">
        <v>54.07</v>
      </c>
      <c r="Q134" s="29">
        <v>45158</v>
      </c>
      <c r="R134" s="29">
        <v>45165</v>
      </c>
      <c r="S134" s="26" t="s">
        <v>55</v>
      </c>
      <c r="T134" s="26" t="s">
        <v>56</v>
      </c>
      <c r="U134" s="26" t="s">
        <v>57</v>
      </c>
      <c r="V134" s="26" t="s">
        <v>78</v>
      </c>
    </row>
    <row r="135" spans="1:22" ht="18" customHeight="1" x14ac:dyDescent="0.3">
      <c r="A135" s="3" t="s">
        <v>549</v>
      </c>
      <c r="B135" s="3" t="s">
        <v>550</v>
      </c>
      <c r="C135" s="4" t="s">
        <v>551</v>
      </c>
      <c r="D135" s="4" t="s">
        <v>6</v>
      </c>
      <c r="E135" s="4" t="s">
        <v>82</v>
      </c>
      <c r="F135" s="4" t="s">
        <v>83</v>
      </c>
      <c r="G135" s="4" t="s">
        <v>84</v>
      </c>
      <c r="H135" s="4" t="s">
        <v>179</v>
      </c>
      <c r="I135" s="3">
        <v>6</v>
      </c>
      <c r="J135" s="5">
        <v>24886.15</v>
      </c>
      <c r="K135" s="5">
        <v>20</v>
      </c>
      <c r="L135" s="5">
        <v>19908.919999999998</v>
      </c>
      <c r="M135" s="5">
        <v>119453.52</v>
      </c>
      <c r="N135" s="5">
        <v>76386.84</v>
      </c>
      <c r="O135" s="5">
        <v>43066.68</v>
      </c>
      <c r="P135" s="24">
        <v>36.049999999999997</v>
      </c>
      <c r="Q135" s="6">
        <v>45060</v>
      </c>
      <c r="R135" s="6">
        <v>45070</v>
      </c>
      <c r="S135" s="4" t="s">
        <v>66</v>
      </c>
      <c r="T135" s="4" t="s">
        <v>56</v>
      </c>
      <c r="U135" s="4" t="s">
        <v>67</v>
      </c>
      <c r="V135" s="4" t="s">
        <v>88</v>
      </c>
    </row>
    <row r="136" spans="1:22" ht="18" customHeight="1" x14ac:dyDescent="0.3">
      <c r="A136" s="25" t="s">
        <v>552</v>
      </c>
      <c r="B136" s="25" t="s">
        <v>553</v>
      </c>
      <c r="C136" s="26" t="s">
        <v>554</v>
      </c>
      <c r="D136" s="26" t="s">
        <v>7</v>
      </c>
      <c r="E136" s="26" t="s">
        <v>92</v>
      </c>
      <c r="F136" s="26" t="s">
        <v>93</v>
      </c>
      <c r="G136" s="26" t="s">
        <v>94</v>
      </c>
      <c r="H136" s="26" t="s">
        <v>183</v>
      </c>
      <c r="I136" s="25">
        <v>1</v>
      </c>
      <c r="J136" s="27">
        <v>33493.9</v>
      </c>
      <c r="K136" s="27">
        <v>5</v>
      </c>
      <c r="L136" s="27">
        <v>31819.200000000001</v>
      </c>
      <c r="M136" s="27">
        <v>31819.200000000001</v>
      </c>
      <c r="N136" s="27">
        <v>21636.240000000002</v>
      </c>
      <c r="O136" s="27">
        <v>10182.959999999999</v>
      </c>
      <c r="P136" s="28">
        <v>32</v>
      </c>
      <c r="Q136" s="29">
        <v>45573</v>
      </c>
      <c r="R136" s="29">
        <v>45581</v>
      </c>
      <c r="S136" s="26" t="s">
        <v>76</v>
      </c>
      <c r="T136" s="26" t="s">
        <v>56</v>
      </c>
      <c r="U136" s="26" t="s">
        <v>77</v>
      </c>
      <c r="V136" s="26" t="s">
        <v>96</v>
      </c>
    </row>
    <row r="137" spans="1:22" ht="18" customHeight="1" x14ac:dyDescent="0.3">
      <c r="A137" s="3" t="s">
        <v>555</v>
      </c>
      <c r="B137" s="3" t="s">
        <v>556</v>
      </c>
      <c r="C137" s="4" t="s">
        <v>222</v>
      </c>
      <c r="D137" s="4" t="s">
        <v>8</v>
      </c>
      <c r="E137" s="4" t="s">
        <v>100</v>
      </c>
      <c r="F137" s="4" t="s">
        <v>52</v>
      </c>
      <c r="G137" s="4" t="s">
        <v>53</v>
      </c>
      <c r="H137" s="4" t="s">
        <v>243</v>
      </c>
      <c r="I137" s="3">
        <v>1</v>
      </c>
      <c r="J137" s="5">
        <v>20121.63</v>
      </c>
      <c r="K137" s="5">
        <v>0</v>
      </c>
      <c r="L137" s="5">
        <v>20121.63</v>
      </c>
      <c r="M137" s="5">
        <v>20121.63</v>
      </c>
      <c r="N137" s="5">
        <v>9232.91</v>
      </c>
      <c r="O137" s="5">
        <v>10888.72</v>
      </c>
      <c r="P137" s="24">
        <v>54.11</v>
      </c>
      <c r="Q137" s="6">
        <v>45382</v>
      </c>
      <c r="R137" s="6">
        <v>45387</v>
      </c>
      <c r="S137" s="4" t="s">
        <v>86</v>
      </c>
      <c r="T137" s="4" t="s">
        <v>56</v>
      </c>
      <c r="U137" s="4" t="s">
        <v>87</v>
      </c>
      <c r="V137" s="4" t="s">
        <v>103</v>
      </c>
    </row>
    <row r="138" spans="1:22" ht="18" customHeight="1" x14ac:dyDescent="0.3">
      <c r="A138" s="25" t="s">
        <v>557</v>
      </c>
      <c r="B138" s="25" t="s">
        <v>558</v>
      </c>
      <c r="C138" s="26" t="s">
        <v>559</v>
      </c>
      <c r="D138" s="26" t="s">
        <v>23</v>
      </c>
      <c r="E138" s="26" t="s">
        <v>107</v>
      </c>
      <c r="F138" s="26" t="s">
        <v>63</v>
      </c>
      <c r="G138" s="26" t="s">
        <v>64</v>
      </c>
      <c r="H138" s="26" t="s">
        <v>65</v>
      </c>
      <c r="I138" s="25">
        <v>8</v>
      </c>
      <c r="J138" s="27">
        <v>18908.98</v>
      </c>
      <c r="K138" s="27">
        <v>30</v>
      </c>
      <c r="L138" s="27">
        <v>13236.29</v>
      </c>
      <c r="M138" s="27">
        <v>105890.32</v>
      </c>
      <c r="N138" s="27">
        <v>52861.95</v>
      </c>
      <c r="O138" s="27">
        <v>53028.37</v>
      </c>
      <c r="P138" s="28">
        <v>50.08</v>
      </c>
      <c r="Q138" s="29">
        <v>45404</v>
      </c>
      <c r="R138" s="29">
        <v>45414</v>
      </c>
      <c r="S138" s="26" t="s">
        <v>55</v>
      </c>
      <c r="T138" s="26" t="s">
        <v>56</v>
      </c>
      <c r="U138" s="26" t="s">
        <v>57</v>
      </c>
      <c r="V138" s="26" t="s">
        <v>109</v>
      </c>
    </row>
    <row r="139" spans="1:22" ht="18" customHeight="1" x14ac:dyDescent="0.3">
      <c r="A139" s="3" t="s">
        <v>560</v>
      </c>
      <c r="B139" s="3" t="s">
        <v>561</v>
      </c>
      <c r="C139" s="4" t="s">
        <v>196</v>
      </c>
      <c r="D139" s="4" t="s">
        <v>24</v>
      </c>
      <c r="E139" s="4" t="s">
        <v>113</v>
      </c>
      <c r="F139" s="4" t="s">
        <v>73</v>
      </c>
      <c r="G139" s="4" t="s">
        <v>74</v>
      </c>
      <c r="H139" s="4" t="s">
        <v>562</v>
      </c>
      <c r="I139" s="3">
        <v>6</v>
      </c>
      <c r="J139" s="5">
        <v>49591.6</v>
      </c>
      <c r="K139" s="5">
        <v>20</v>
      </c>
      <c r="L139" s="5">
        <v>39673.279999999999</v>
      </c>
      <c r="M139" s="5">
        <v>238039.67999999999</v>
      </c>
      <c r="N139" s="5">
        <v>176615.08</v>
      </c>
      <c r="O139" s="5">
        <v>61424.6</v>
      </c>
      <c r="P139" s="24">
        <v>25.8</v>
      </c>
      <c r="Q139" s="6">
        <v>45258</v>
      </c>
      <c r="R139" s="6">
        <v>45261</v>
      </c>
      <c r="S139" s="4" t="s">
        <v>66</v>
      </c>
      <c r="T139" s="4" t="s">
        <v>56</v>
      </c>
      <c r="U139" s="4" t="s">
        <v>67</v>
      </c>
      <c r="V139" s="4" t="s">
        <v>115</v>
      </c>
    </row>
    <row r="140" spans="1:22" ht="18" customHeight="1" x14ac:dyDescent="0.3">
      <c r="A140" s="25" t="s">
        <v>563</v>
      </c>
      <c r="B140" s="25" t="s">
        <v>564</v>
      </c>
      <c r="C140" s="26" t="s">
        <v>565</v>
      </c>
      <c r="D140" s="26" t="s">
        <v>25</v>
      </c>
      <c r="E140" s="26" t="s">
        <v>107</v>
      </c>
      <c r="F140" s="26" t="s">
        <v>83</v>
      </c>
      <c r="G140" s="26" t="s">
        <v>84</v>
      </c>
      <c r="H140" s="26" t="s">
        <v>566</v>
      </c>
      <c r="I140" s="25">
        <v>1</v>
      </c>
      <c r="J140" s="27">
        <v>16637.87</v>
      </c>
      <c r="K140" s="27">
        <v>30</v>
      </c>
      <c r="L140" s="27">
        <v>11646.51</v>
      </c>
      <c r="M140" s="27">
        <v>11646.51</v>
      </c>
      <c r="N140" s="27">
        <v>5757.61</v>
      </c>
      <c r="O140" s="27">
        <v>5888.9</v>
      </c>
      <c r="P140" s="28">
        <v>50.56</v>
      </c>
      <c r="Q140" s="29">
        <v>45137</v>
      </c>
      <c r="R140" s="29">
        <v>45147</v>
      </c>
      <c r="S140" s="26" t="s">
        <v>76</v>
      </c>
      <c r="T140" s="26" t="s">
        <v>56</v>
      </c>
      <c r="U140" s="26" t="s">
        <v>77</v>
      </c>
      <c r="V140" s="26" t="s">
        <v>120</v>
      </c>
    </row>
    <row r="141" spans="1:22" ht="18" customHeight="1" x14ac:dyDescent="0.3">
      <c r="A141" s="3" t="s">
        <v>567</v>
      </c>
      <c r="B141" s="3" t="s">
        <v>568</v>
      </c>
      <c r="C141" s="4" t="s">
        <v>569</v>
      </c>
      <c r="D141" s="4" t="s">
        <v>9</v>
      </c>
      <c r="E141" s="4" t="s">
        <v>62</v>
      </c>
      <c r="F141" s="4" t="s">
        <v>93</v>
      </c>
      <c r="G141" s="4" t="s">
        <v>94</v>
      </c>
      <c r="H141" s="4" t="s">
        <v>239</v>
      </c>
      <c r="I141" s="3">
        <v>10</v>
      </c>
      <c r="J141" s="5">
        <v>20601.830000000002</v>
      </c>
      <c r="K141" s="5">
        <v>10</v>
      </c>
      <c r="L141" s="5">
        <v>18541.650000000001</v>
      </c>
      <c r="M141" s="5">
        <v>185416.5</v>
      </c>
      <c r="N141" s="5">
        <v>128573.24</v>
      </c>
      <c r="O141" s="5">
        <v>56843.26</v>
      </c>
      <c r="P141" s="24">
        <v>30.66</v>
      </c>
      <c r="Q141" s="6">
        <v>45221</v>
      </c>
      <c r="R141" s="6">
        <v>45228</v>
      </c>
      <c r="S141" s="4" t="s">
        <v>86</v>
      </c>
      <c r="T141" s="4" t="s">
        <v>56</v>
      </c>
      <c r="U141" s="4" t="s">
        <v>87</v>
      </c>
      <c r="V141" s="4" t="s">
        <v>125</v>
      </c>
    </row>
    <row r="142" spans="1:22" ht="18" customHeight="1" x14ac:dyDescent="0.3">
      <c r="A142" s="25" t="s">
        <v>570</v>
      </c>
      <c r="B142" s="25" t="s">
        <v>571</v>
      </c>
      <c r="C142" s="26" t="s">
        <v>508</v>
      </c>
      <c r="D142" s="26" t="s">
        <v>3</v>
      </c>
      <c r="E142" s="26" t="s">
        <v>3</v>
      </c>
      <c r="F142" s="26" t="s">
        <v>52</v>
      </c>
      <c r="G142" s="26" t="s">
        <v>53</v>
      </c>
      <c r="H142" s="26" t="s">
        <v>464</v>
      </c>
      <c r="I142" s="25">
        <v>5</v>
      </c>
      <c r="J142" s="27">
        <v>23962.55</v>
      </c>
      <c r="K142" s="27">
        <v>10</v>
      </c>
      <c r="L142" s="27">
        <v>21566.29</v>
      </c>
      <c r="M142" s="27">
        <v>107831.45</v>
      </c>
      <c r="N142" s="27">
        <v>52760.1</v>
      </c>
      <c r="O142" s="27">
        <v>55071.35</v>
      </c>
      <c r="P142" s="28">
        <v>51.07</v>
      </c>
      <c r="Q142" s="29">
        <v>45389</v>
      </c>
      <c r="R142" s="29">
        <v>45393</v>
      </c>
      <c r="S142" s="26" t="s">
        <v>55</v>
      </c>
      <c r="T142" s="26" t="s">
        <v>56</v>
      </c>
      <c r="U142" s="26" t="s">
        <v>57</v>
      </c>
      <c r="V142" s="26" t="s">
        <v>58</v>
      </c>
    </row>
    <row r="143" spans="1:22" ht="18" customHeight="1" x14ac:dyDescent="0.3">
      <c r="A143" s="3" t="s">
        <v>572</v>
      </c>
      <c r="B143" s="3" t="s">
        <v>573</v>
      </c>
      <c r="C143" s="4" t="s">
        <v>159</v>
      </c>
      <c r="D143" s="4" t="s">
        <v>4</v>
      </c>
      <c r="E143" s="4" t="s">
        <v>62</v>
      </c>
      <c r="F143" s="4" t="s">
        <v>63</v>
      </c>
      <c r="G143" s="4" t="s">
        <v>64</v>
      </c>
      <c r="H143" s="4" t="s">
        <v>207</v>
      </c>
      <c r="I143" s="3">
        <v>9</v>
      </c>
      <c r="J143" s="5">
        <v>12305.68</v>
      </c>
      <c r="K143" s="5">
        <v>5</v>
      </c>
      <c r="L143" s="5">
        <v>11690.4</v>
      </c>
      <c r="M143" s="5">
        <v>105213.6</v>
      </c>
      <c r="N143" s="5">
        <v>72057.570000000007</v>
      </c>
      <c r="O143" s="5">
        <v>33156.03</v>
      </c>
      <c r="P143" s="24">
        <v>31.51</v>
      </c>
      <c r="Q143" s="6">
        <v>45163</v>
      </c>
      <c r="R143" s="6">
        <v>45165</v>
      </c>
      <c r="S143" s="4" t="s">
        <v>66</v>
      </c>
      <c r="T143" s="4" t="s">
        <v>56</v>
      </c>
      <c r="U143" s="4" t="s">
        <v>67</v>
      </c>
      <c r="V143" s="4" t="s">
        <v>68</v>
      </c>
    </row>
    <row r="144" spans="1:22" ht="18" customHeight="1" x14ac:dyDescent="0.3">
      <c r="A144" s="25" t="s">
        <v>574</v>
      </c>
      <c r="B144" s="25" t="s">
        <v>575</v>
      </c>
      <c r="C144" s="26" t="s">
        <v>576</v>
      </c>
      <c r="D144" s="26" t="s">
        <v>5</v>
      </c>
      <c r="E144" s="26" t="s">
        <v>72</v>
      </c>
      <c r="F144" s="26" t="s">
        <v>73</v>
      </c>
      <c r="G144" s="26" t="s">
        <v>74</v>
      </c>
      <c r="H144" s="26" t="s">
        <v>577</v>
      </c>
      <c r="I144" s="25">
        <v>10</v>
      </c>
      <c r="J144" s="27">
        <v>21169.72</v>
      </c>
      <c r="K144" s="27">
        <v>30</v>
      </c>
      <c r="L144" s="27">
        <v>14818.8</v>
      </c>
      <c r="M144" s="27">
        <v>148188</v>
      </c>
      <c r="N144" s="27">
        <v>79518.990000000005</v>
      </c>
      <c r="O144" s="27">
        <v>68669.009999999995</v>
      </c>
      <c r="P144" s="28">
        <v>46.34</v>
      </c>
      <c r="Q144" s="29">
        <v>45219</v>
      </c>
      <c r="R144" s="29">
        <v>45225</v>
      </c>
      <c r="S144" s="26" t="s">
        <v>76</v>
      </c>
      <c r="T144" s="26" t="s">
        <v>56</v>
      </c>
      <c r="U144" s="26" t="s">
        <v>77</v>
      </c>
      <c r="V144" s="26" t="s">
        <v>78</v>
      </c>
    </row>
    <row r="145" spans="1:22" ht="18" customHeight="1" x14ac:dyDescent="0.3">
      <c r="A145" s="3" t="s">
        <v>578</v>
      </c>
      <c r="B145" s="3" t="s">
        <v>579</v>
      </c>
      <c r="C145" s="4" t="s">
        <v>580</v>
      </c>
      <c r="D145" s="4" t="s">
        <v>6</v>
      </c>
      <c r="E145" s="4" t="s">
        <v>82</v>
      </c>
      <c r="F145" s="4" t="s">
        <v>83</v>
      </c>
      <c r="G145" s="4" t="s">
        <v>84</v>
      </c>
      <c r="H145" s="4" t="s">
        <v>160</v>
      </c>
      <c r="I145" s="3">
        <v>4</v>
      </c>
      <c r="J145" s="5">
        <v>3376.97</v>
      </c>
      <c r="K145" s="5">
        <v>10</v>
      </c>
      <c r="L145" s="5">
        <v>3039.27</v>
      </c>
      <c r="M145" s="5">
        <v>12157.08</v>
      </c>
      <c r="N145" s="5">
        <v>6063.2</v>
      </c>
      <c r="O145" s="5">
        <v>6093.88</v>
      </c>
      <c r="P145" s="24">
        <v>50.13</v>
      </c>
      <c r="Q145" s="6">
        <v>45060</v>
      </c>
      <c r="R145" s="6">
        <v>45061</v>
      </c>
      <c r="S145" s="4" t="s">
        <v>86</v>
      </c>
      <c r="T145" s="4" t="s">
        <v>56</v>
      </c>
      <c r="U145" s="4" t="s">
        <v>87</v>
      </c>
      <c r="V145" s="4" t="s">
        <v>88</v>
      </c>
    </row>
    <row r="146" spans="1:22" ht="18" customHeight="1" x14ac:dyDescent="0.3">
      <c r="A146" s="25" t="s">
        <v>581</v>
      </c>
      <c r="B146" s="25" t="s">
        <v>192</v>
      </c>
      <c r="C146" s="26" t="s">
        <v>582</v>
      </c>
      <c r="D146" s="26" t="s">
        <v>7</v>
      </c>
      <c r="E146" s="26" t="s">
        <v>92</v>
      </c>
      <c r="F146" s="26" t="s">
        <v>93</v>
      </c>
      <c r="G146" s="26" t="s">
        <v>94</v>
      </c>
      <c r="H146" s="26" t="s">
        <v>183</v>
      </c>
      <c r="I146" s="25">
        <v>1</v>
      </c>
      <c r="J146" s="27">
        <v>23846.22</v>
      </c>
      <c r="K146" s="27">
        <v>5</v>
      </c>
      <c r="L146" s="27">
        <v>22653.91</v>
      </c>
      <c r="M146" s="27">
        <v>22653.91</v>
      </c>
      <c r="N146" s="27">
        <v>11126.19</v>
      </c>
      <c r="O146" s="27">
        <v>11527.72</v>
      </c>
      <c r="P146" s="28">
        <v>50.89</v>
      </c>
      <c r="Q146" s="29">
        <v>44945</v>
      </c>
      <c r="R146" s="29">
        <v>44951</v>
      </c>
      <c r="S146" s="26" t="s">
        <v>55</v>
      </c>
      <c r="T146" s="26" t="s">
        <v>56</v>
      </c>
      <c r="U146" s="26" t="s">
        <v>57</v>
      </c>
      <c r="V146" s="26" t="s">
        <v>96</v>
      </c>
    </row>
    <row r="147" spans="1:22" ht="18" customHeight="1" x14ac:dyDescent="0.3">
      <c r="A147" s="3" t="s">
        <v>583</v>
      </c>
      <c r="B147" s="3" t="s">
        <v>457</v>
      </c>
      <c r="C147" s="4" t="s">
        <v>584</v>
      </c>
      <c r="D147" s="4" t="s">
        <v>8</v>
      </c>
      <c r="E147" s="4" t="s">
        <v>100</v>
      </c>
      <c r="F147" s="4" t="s">
        <v>52</v>
      </c>
      <c r="G147" s="4" t="s">
        <v>53</v>
      </c>
      <c r="H147" s="4" t="s">
        <v>149</v>
      </c>
      <c r="I147" s="3">
        <v>5</v>
      </c>
      <c r="J147" s="5">
        <v>19069.41</v>
      </c>
      <c r="K147" s="5">
        <v>25</v>
      </c>
      <c r="L147" s="5">
        <v>14302.06</v>
      </c>
      <c r="M147" s="5">
        <v>71510.3</v>
      </c>
      <c r="N147" s="5">
        <v>48760.46</v>
      </c>
      <c r="O147" s="5">
        <v>22749.84</v>
      </c>
      <c r="P147" s="24">
        <v>31.81</v>
      </c>
      <c r="Q147" s="6">
        <v>45457</v>
      </c>
      <c r="R147" s="6">
        <v>45460</v>
      </c>
      <c r="S147" s="4" t="s">
        <v>66</v>
      </c>
      <c r="T147" s="4" t="s">
        <v>56</v>
      </c>
      <c r="U147" s="4" t="s">
        <v>67</v>
      </c>
      <c r="V147" s="4" t="s">
        <v>103</v>
      </c>
    </row>
    <row r="148" spans="1:22" ht="18" customHeight="1" x14ac:dyDescent="0.3">
      <c r="A148" s="25" t="s">
        <v>585</v>
      </c>
      <c r="B148" s="25" t="s">
        <v>586</v>
      </c>
      <c r="C148" s="26" t="s">
        <v>587</v>
      </c>
      <c r="D148" s="26" t="s">
        <v>23</v>
      </c>
      <c r="E148" s="26" t="s">
        <v>107</v>
      </c>
      <c r="F148" s="26" t="s">
        <v>63</v>
      </c>
      <c r="G148" s="26" t="s">
        <v>64</v>
      </c>
      <c r="H148" s="26" t="s">
        <v>588</v>
      </c>
      <c r="I148" s="25">
        <v>3</v>
      </c>
      <c r="J148" s="27">
        <v>8290.5300000000007</v>
      </c>
      <c r="K148" s="27">
        <v>20</v>
      </c>
      <c r="L148" s="27">
        <v>6632.42</v>
      </c>
      <c r="M148" s="27">
        <v>19897.259999999998</v>
      </c>
      <c r="N148" s="27">
        <v>14019.09</v>
      </c>
      <c r="O148" s="27">
        <v>5878.17</v>
      </c>
      <c r="P148" s="28">
        <v>29.54</v>
      </c>
      <c r="Q148" s="29">
        <v>45024</v>
      </c>
      <c r="R148" s="29">
        <v>45032</v>
      </c>
      <c r="S148" s="26" t="s">
        <v>76</v>
      </c>
      <c r="T148" s="26" t="s">
        <v>56</v>
      </c>
      <c r="U148" s="26" t="s">
        <v>77</v>
      </c>
      <c r="V148" s="26" t="s">
        <v>109</v>
      </c>
    </row>
    <row r="149" spans="1:22" ht="18" customHeight="1" x14ac:dyDescent="0.3">
      <c r="A149" s="3" t="s">
        <v>589</v>
      </c>
      <c r="B149" s="3" t="s">
        <v>480</v>
      </c>
      <c r="C149" s="4" t="s">
        <v>590</v>
      </c>
      <c r="D149" s="4" t="s">
        <v>24</v>
      </c>
      <c r="E149" s="4" t="s">
        <v>113</v>
      </c>
      <c r="F149" s="4" t="s">
        <v>73</v>
      </c>
      <c r="G149" s="4" t="s">
        <v>74</v>
      </c>
      <c r="H149" s="4" t="s">
        <v>591</v>
      </c>
      <c r="I149" s="3">
        <v>7</v>
      </c>
      <c r="J149" s="5">
        <v>7273.28</v>
      </c>
      <c r="K149" s="5">
        <v>15</v>
      </c>
      <c r="L149" s="5">
        <v>6182.29</v>
      </c>
      <c r="M149" s="5">
        <v>43276.03</v>
      </c>
      <c r="N149" s="5">
        <v>23793.759999999998</v>
      </c>
      <c r="O149" s="5">
        <v>19482.27</v>
      </c>
      <c r="P149" s="24">
        <v>45.02</v>
      </c>
      <c r="Q149" s="6">
        <v>45400</v>
      </c>
      <c r="R149" s="6">
        <v>45408</v>
      </c>
      <c r="S149" s="4" t="s">
        <v>86</v>
      </c>
      <c r="T149" s="4" t="s">
        <v>56</v>
      </c>
      <c r="U149" s="4" t="s">
        <v>87</v>
      </c>
      <c r="V149" s="4" t="s">
        <v>115</v>
      </c>
    </row>
    <row r="150" spans="1:22" ht="18" customHeight="1" x14ac:dyDescent="0.3">
      <c r="A150" s="25" t="s">
        <v>592</v>
      </c>
      <c r="B150" s="25" t="s">
        <v>593</v>
      </c>
      <c r="C150" s="26" t="s">
        <v>364</v>
      </c>
      <c r="D150" s="26" t="s">
        <v>25</v>
      </c>
      <c r="E150" s="26" t="s">
        <v>107</v>
      </c>
      <c r="F150" s="26" t="s">
        <v>83</v>
      </c>
      <c r="G150" s="26" t="s">
        <v>84</v>
      </c>
      <c r="H150" s="26" t="s">
        <v>253</v>
      </c>
      <c r="I150" s="25">
        <v>5</v>
      </c>
      <c r="J150" s="27">
        <v>41428.660000000003</v>
      </c>
      <c r="K150" s="27">
        <v>15</v>
      </c>
      <c r="L150" s="27">
        <v>35214.36</v>
      </c>
      <c r="M150" s="27">
        <v>176071.8</v>
      </c>
      <c r="N150" s="27">
        <v>99875.58</v>
      </c>
      <c r="O150" s="27">
        <v>76196.22</v>
      </c>
      <c r="P150" s="28">
        <v>43.28</v>
      </c>
      <c r="Q150" s="29">
        <v>45134</v>
      </c>
      <c r="R150" s="29">
        <v>45140</v>
      </c>
      <c r="S150" s="26" t="s">
        <v>55</v>
      </c>
      <c r="T150" s="26" t="s">
        <v>56</v>
      </c>
      <c r="U150" s="26" t="s">
        <v>57</v>
      </c>
      <c r="V150" s="26" t="s">
        <v>120</v>
      </c>
    </row>
    <row r="151" spans="1:22" ht="18" customHeight="1" x14ac:dyDescent="0.3">
      <c r="A151" s="3" t="s">
        <v>594</v>
      </c>
      <c r="B151" s="3" t="s">
        <v>595</v>
      </c>
      <c r="C151" s="4" t="s">
        <v>596</v>
      </c>
      <c r="D151" s="4" t="s">
        <v>9</v>
      </c>
      <c r="E151" s="4" t="s">
        <v>62</v>
      </c>
      <c r="F151" s="4" t="s">
        <v>93</v>
      </c>
      <c r="G151" s="4" t="s">
        <v>94</v>
      </c>
      <c r="H151" s="4" t="s">
        <v>374</v>
      </c>
      <c r="I151" s="3">
        <v>10</v>
      </c>
      <c r="J151" s="5">
        <v>43828.73</v>
      </c>
      <c r="K151" s="5">
        <v>0</v>
      </c>
      <c r="L151" s="5">
        <v>43828.73</v>
      </c>
      <c r="M151" s="5">
        <v>438287.3</v>
      </c>
      <c r="N151" s="5">
        <v>274521.21999999997</v>
      </c>
      <c r="O151" s="5">
        <v>163766.07999999999</v>
      </c>
      <c r="P151" s="24">
        <v>37.369999999999997</v>
      </c>
      <c r="Q151" s="6">
        <v>45394</v>
      </c>
      <c r="R151" s="6">
        <v>45400</v>
      </c>
      <c r="S151" s="4" t="s">
        <v>66</v>
      </c>
      <c r="T151" s="4" t="s">
        <v>56</v>
      </c>
      <c r="U151" s="4" t="s">
        <v>67</v>
      </c>
      <c r="V151" s="4" t="s">
        <v>125</v>
      </c>
    </row>
    <row r="152" spans="1:22" ht="18" customHeight="1" x14ac:dyDescent="0.3">
      <c r="A152" s="25" t="s">
        <v>597</v>
      </c>
      <c r="B152" s="25" t="s">
        <v>598</v>
      </c>
      <c r="C152" s="26" t="s">
        <v>599</v>
      </c>
      <c r="D152" s="26" t="s">
        <v>3</v>
      </c>
      <c r="E152" s="26" t="s">
        <v>3</v>
      </c>
      <c r="F152" s="26" t="s">
        <v>52</v>
      </c>
      <c r="G152" s="26" t="s">
        <v>53</v>
      </c>
      <c r="H152" s="26" t="s">
        <v>447</v>
      </c>
      <c r="I152" s="25">
        <v>3</v>
      </c>
      <c r="J152" s="27">
        <v>148.72</v>
      </c>
      <c r="K152" s="27">
        <v>30</v>
      </c>
      <c r="L152" s="27">
        <v>104.1</v>
      </c>
      <c r="M152" s="27">
        <v>312.3</v>
      </c>
      <c r="N152" s="27">
        <v>182.54</v>
      </c>
      <c r="O152" s="27">
        <v>129.76</v>
      </c>
      <c r="P152" s="28">
        <v>41.55</v>
      </c>
      <c r="Q152" s="29">
        <v>45254</v>
      </c>
      <c r="R152" s="29">
        <v>45255</v>
      </c>
      <c r="S152" s="26" t="s">
        <v>76</v>
      </c>
      <c r="T152" s="26" t="s">
        <v>56</v>
      </c>
      <c r="U152" s="26" t="s">
        <v>77</v>
      </c>
      <c r="V152" s="26" t="s">
        <v>58</v>
      </c>
    </row>
    <row r="153" spans="1:22" ht="18" customHeight="1" x14ac:dyDescent="0.3">
      <c r="A153" s="3" t="s">
        <v>600</v>
      </c>
      <c r="B153" s="3" t="s">
        <v>601</v>
      </c>
      <c r="C153" s="4" t="s">
        <v>335</v>
      </c>
      <c r="D153" s="4" t="s">
        <v>4</v>
      </c>
      <c r="E153" s="4" t="s">
        <v>62</v>
      </c>
      <c r="F153" s="4" t="s">
        <v>63</v>
      </c>
      <c r="G153" s="4" t="s">
        <v>64</v>
      </c>
      <c r="H153" s="4" t="s">
        <v>171</v>
      </c>
      <c r="I153" s="3">
        <v>1</v>
      </c>
      <c r="J153" s="5">
        <v>7883.34</v>
      </c>
      <c r="K153" s="5">
        <v>30</v>
      </c>
      <c r="L153" s="5">
        <v>5518.34</v>
      </c>
      <c r="M153" s="5">
        <v>5518.34</v>
      </c>
      <c r="N153" s="5">
        <v>3123.87</v>
      </c>
      <c r="O153" s="5">
        <v>2394.4699999999998</v>
      </c>
      <c r="P153" s="24">
        <v>43.39</v>
      </c>
      <c r="Q153" s="6">
        <v>45100</v>
      </c>
      <c r="R153" s="6">
        <v>45102</v>
      </c>
      <c r="S153" s="4" t="s">
        <v>86</v>
      </c>
      <c r="T153" s="4" t="s">
        <v>56</v>
      </c>
      <c r="U153" s="4" t="s">
        <v>87</v>
      </c>
      <c r="V153" s="4" t="s">
        <v>68</v>
      </c>
    </row>
    <row r="154" spans="1:22" ht="18" customHeight="1" x14ac:dyDescent="0.3">
      <c r="A154" s="25" t="s">
        <v>602</v>
      </c>
      <c r="B154" s="25" t="s">
        <v>603</v>
      </c>
      <c r="C154" s="26" t="s">
        <v>136</v>
      </c>
      <c r="D154" s="26" t="s">
        <v>5</v>
      </c>
      <c r="E154" s="26" t="s">
        <v>72</v>
      </c>
      <c r="F154" s="26" t="s">
        <v>73</v>
      </c>
      <c r="G154" s="26" t="s">
        <v>74</v>
      </c>
      <c r="H154" s="26" t="s">
        <v>403</v>
      </c>
      <c r="I154" s="25">
        <v>5</v>
      </c>
      <c r="J154" s="27">
        <v>22016.09</v>
      </c>
      <c r="K154" s="27">
        <v>20</v>
      </c>
      <c r="L154" s="27">
        <v>17612.87</v>
      </c>
      <c r="M154" s="27">
        <v>88064.35</v>
      </c>
      <c r="N154" s="27">
        <v>41989.94</v>
      </c>
      <c r="O154" s="27">
        <v>46074.41</v>
      </c>
      <c r="P154" s="28">
        <v>52.32</v>
      </c>
      <c r="Q154" s="29">
        <v>45337</v>
      </c>
      <c r="R154" s="29">
        <v>45340</v>
      </c>
      <c r="S154" s="26" t="s">
        <v>55</v>
      </c>
      <c r="T154" s="26" t="s">
        <v>56</v>
      </c>
      <c r="U154" s="26" t="s">
        <v>57</v>
      </c>
      <c r="V154" s="26" t="s">
        <v>78</v>
      </c>
    </row>
    <row r="155" spans="1:22" ht="18" customHeight="1" x14ac:dyDescent="0.3">
      <c r="A155" s="3" t="s">
        <v>604</v>
      </c>
      <c r="B155" s="3" t="s">
        <v>605</v>
      </c>
      <c r="C155" s="4" t="s">
        <v>606</v>
      </c>
      <c r="D155" s="4" t="s">
        <v>6</v>
      </c>
      <c r="E155" s="4" t="s">
        <v>82</v>
      </c>
      <c r="F155" s="4" t="s">
        <v>83</v>
      </c>
      <c r="G155" s="4" t="s">
        <v>84</v>
      </c>
      <c r="H155" s="4" t="s">
        <v>85</v>
      </c>
      <c r="I155" s="3">
        <v>7</v>
      </c>
      <c r="J155" s="5">
        <v>31777.13</v>
      </c>
      <c r="K155" s="5">
        <v>20</v>
      </c>
      <c r="L155" s="5">
        <v>25421.7</v>
      </c>
      <c r="M155" s="5">
        <v>177951.9</v>
      </c>
      <c r="N155" s="5">
        <v>132982.24</v>
      </c>
      <c r="O155" s="5">
        <v>44969.66</v>
      </c>
      <c r="P155" s="24">
        <v>25.27</v>
      </c>
      <c r="Q155" s="6">
        <v>45278</v>
      </c>
      <c r="R155" s="6">
        <v>45287</v>
      </c>
      <c r="S155" s="4" t="s">
        <v>66</v>
      </c>
      <c r="T155" s="4" t="s">
        <v>56</v>
      </c>
      <c r="U155" s="4" t="s">
        <v>67</v>
      </c>
      <c r="V155" s="4" t="s">
        <v>88</v>
      </c>
    </row>
    <row r="156" spans="1:22" ht="18" customHeight="1" x14ac:dyDescent="0.3">
      <c r="A156" s="25" t="s">
        <v>607</v>
      </c>
      <c r="B156" s="25" t="s">
        <v>608</v>
      </c>
      <c r="C156" s="26" t="s">
        <v>609</v>
      </c>
      <c r="D156" s="26" t="s">
        <v>7</v>
      </c>
      <c r="E156" s="26" t="s">
        <v>92</v>
      </c>
      <c r="F156" s="26" t="s">
        <v>93</v>
      </c>
      <c r="G156" s="26" t="s">
        <v>94</v>
      </c>
      <c r="H156" s="26" t="s">
        <v>164</v>
      </c>
      <c r="I156" s="25">
        <v>7</v>
      </c>
      <c r="J156" s="27">
        <v>18995.32</v>
      </c>
      <c r="K156" s="27">
        <v>0</v>
      </c>
      <c r="L156" s="27">
        <v>18995.32</v>
      </c>
      <c r="M156" s="27">
        <v>132967.24</v>
      </c>
      <c r="N156" s="27">
        <v>85411.47</v>
      </c>
      <c r="O156" s="27">
        <v>47555.77</v>
      </c>
      <c r="P156" s="28">
        <v>35.770000000000003</v>
      </c>
      <c r="Q156" s="29">
        <v>44967</v>
      </c>
      <c r="R156" s="29">
        <v>44970</v>
      </c>
      <c r="S156" s="26" t="s">
        <v>76</v>
      </c>
      <c r="T156" s="26" t="s">
        <v>56</v>
      </c>
      <c r="U156" s="26" t="s">
        <v>77</v>
      </c>
      <c r="V156" s="26" t="s">
        <v>96</v>
      </c>
    </row>
    <row r="157" spans="1:22" ht="18" customHeight="1" x14ac:dyDescent="0.3">
      <c r="A157" s="3" t="s">
        <v>610</v>
      </c>
      <c r="B157" s="3" t="s">
        <v>611</v>
      </c>
      <c r="C157" s="4" t="s">
        <v>612</v>
      </c>
      <c r="D157" s="4" t="s">
        <v>8</v>
      </c>
      <c r="E157" s="4" t="s">
        <v>100</v>
      </c>
      <c r="F157" s="4" t="s">
        <v>52</v>
      </c>
      <c r="G157" s="4" t="s">
        <v>53</v>
      </c>
      <c r="H157" s="4" t="s">
        <v>613</v>
      </c>
      <c r="I157" s="3">
        <v>6</v>
      </c>
      <c r="J157" s="5">
        <v>16269.77</v>
      </c>
      <c r="K157" s="5">
        <v>15</v>
      </c>
      <c r="L157" s="5">
        <v>13829.3</v>
      </c>
      <c r="M157" s="5">
        <v>82975.8</v>
      </c>
      <c r="N157" s="5">
        <v>50688.4</v>
      </c>
      <c r="O157" s="5">
        <v>32287.4</v>
      </c>
      <c r="P157" s="24">
        <v>38.909999999999997</v>
      </c>
      <c r="Q157" s="6">
        <v>45573</v>
      </c>
      <c r="R157" s="6">
        <v>45580</v>
      </c>
      <c r="S157" s="4" t="s">
        <v>86</v>
      </c>
      <c r="T157" s="4" t="s">
        <v>56</v>
      </c>
      <c r="U157" s="4" t="s">
        <v>87</v>
      </c>
      <c r="V157" s="4" t="s">
        <v>103</v>
      </c>
    </row>
    <row r="158" spans="1:22" ht="18" customHeight="1" x14ac:dyDescent="0.3">
      <c r="A158" s="25" t="s">
        <v>614</v>
      </c>
      <c r="B158" s="25" t="s">
        <v>615</v>
      </c>
      <c r="C158" s="26" t="s">
        <v>616</v>
      </c>
      <c r="D158" s="26" t="s">
        <v>23</v>
      </c>
      <c r="E158" s="26" t="s">
        <v>107</v>
      </c>
      <c r="F158" s="26" t="s">
        <v>63</v>
      </c>
      <c r="G158" s="26" t="s">
        <v>64</v>
      </c>
      <c r="H158" s="26" t="s">
        <v>617</v>
      </c>
      <c r="I158" s="25">
        <v>9</v>
      </c>
      <c r="J158" s="27">
        <v>37303.33</v>
      </c>
      <c r="K158" s="27">
        <v>15</v>
      </c>
      <c r="L158" s="27">
        <v>31707.83</v>
      </c>
      <c r="M158" s="27">
        <v>285370.46999999997</v>
      </c>
      <c r="N158" s="27">
        <v>159089.82999999999</v>
      </c>
      <c r="O158" s="27">
        <v>126280.64</v>
      </c>
      <c r="P158" s="28">
        <v>44.25</v>
      </c>
      <c r="Q158" s="29">
        <v>45049</v>
      </c>
      <c r="R158" s="29">
        <v>45050</v>
      </c>
      <c r="S158" s="26" t="s">
        <v>55</v>
      </c>
      <c r="T158" s="26" t="s">
        <v>56</v>
      </c>
      <c r="U158" s="26" t="s">
        <v>57</v>
      </c>
      <c r="V158" s="26" t="s">
        <v>109</v>
      </c>
    </row>
    <row r="159" spans="1:22" ht="18" customHeight="1" x14ac:dyDescent="0.3">
      <c r="A159" s="3" t="s">
        <v>618</v>
      </c>
      <c r="B159" s="3" t="s">
        <v>619</v>
      </c>
      <c r="C159" s="4" t="s">
        <v>620</v>
      </c>
      <c r="D159" s="4" t="s">
        <v>24</v>
      </c>
      <c r="E159" s="4" t="s">
        <v>113</v>
      </c>
      <c r="F159" s="4" t="s">
        <v>73</v>
      </c>
      <c r="G159" s="4" t="s">
        <v>74</v>
      </c>
      <c r="H159" s="4" t="s">
        <v>230</v>
      </c>
      <c r="I159" s="3">
        <v>3</v>
      </c>
      <c r="J159" s="5">
        <v>5897.35</v>
      </c>
      <c r="K159" s="5">
        <v>15</v>
      </c>
      <c r="L159" s="5">
        <v>5012.75</v>
      </c>
      <c r="M159" s="5">
        <v>15038.25</v>
      </c>
      <c r="N159" s="5">
        <v>10675.94</v>
      </c>
      <c r="O159" s="5">
        <v>4362.3100000000004</v>
      </c>
      <c r="P159" s="24">
        <v>29.01</v>
      </c>
      <c r="Q159" s="6">
        <v>45195</v>
      </c>
      <c r="R159" s="6">
        <v>45201</v>
      </c>
      <c r="S159" s="4" t="s">
        <v>66</v>
      </c>
      <c r="T159" s="4" t="s">
        <v>56</v>
      </c>
      <c r="U159" s="4" t="s">
        <v>67</v>
      </c>
      <c r="V159" s="4" t="s">
        <v>115</v>
      </c>
    </row>
    <row r="160" spans="1:22" ht="18" customHeight="1" x14ac:dyDescent="0.3">
      <c r="A160" s="25" t="s">
        <v>621</v>
      </c>
      <c r="B160" s="25" t="s">
        <v>135</v>
      </c>
      <c r="C160" s="26" t="s">
        <v>99</v>
      </c>
      <c r="D160" s="26" t="s">
        <v>25</v>
      </c>
      <c r="E160" s="26" t="s">
        <v>107</v>
      </c>
      <c r="F160" s="26" t="s">
        <v>83</v>
      </c>
      <c r="G160" s="26" t="s">
        <v>84</v>
      </c>
      <c r="H160" s="26" t="s">
        <v>197</v>
      </c>
      <c r="I160" s="25">
        <v>8</v>
      </c>
      <c r="J160" s="27">
        <v>31832.07</v>
      </c>
      <c r="K160" s="27">
        <v>20</v>
      </c>
      <c r="L160" s="27">
        <v>25465.66</v>
      </c>
      <c r="M160" s="27">
        <v>203725.28</v>
      </c>
      <c r="N160" s="27">
        <v>108654.08</v>
      </c>
      <c r="O160" s="27">
        <v>95071.2</v>
      </c>
      <c r="P160" s="28">
        <v>46.67</v>
      </c>
      <c r="Q160" s="29">
        <v>45195</v>
      </c>
      <c r="R160" s="29">
        <v>45203</v>
      </c>
      <c r="S160" s="26" t="s">
        <v>76</v>
      </c>
      <c r="T160" s="26" t="s">
        <v>56</v>
      </c>
      <c r="U160" s="26" t="s">
        <v>77</v>
      </c>
      <c r="V160" s="26" t="s">
        <v>120</v>
      </c>
    </row>
    <row r="161" spans="1:22" ht="18" customHeight="1" x14ac:dyDescent="0.3">
      <c r="A161" s="3" t="s">
        <v>622</v>
      </c>
      <c r="B161" s="3" t="s">
        <v>623</v>
      </c>
      <c r="C161" s="4" t="s">
        <v>624</v>
      </c>
      <c r="D161" s="4" t="s">
        <v>9</v>
      </c>
      <c r="E161" s="4" t="s">
        <v>62</v>
      </c>
      <c r="F161" s="4" t="s">
        <v>93</v>
      </c>
      <c r="G161" s="4" t="s">
        <v>94</v>
      </c>
      <c r="H161" s="4" t="s">
        <v>625</v>
      </c>
      <c r="I161" s="3">
        <v>7</v>
      </c>
      <c r="J161" s="5">
        <v>20399.009999999998</v>
      </c>
      <c r="K161" s="5">
        <v>5</v>
      </c>
      <c r="L161" s="5">
        <v>19379.060000000001</v>
      </c>
      <c r="M161" s="5">
        <v>135653.42000000001</v>
      </c>
      <c r="N161" s="5">
        <v>94719.76</v>
      </c>
      <c r="O161" s="5">
        <v>40933.660000000003</v>
      </c>
      <c r="P161" s="24">
        <v>30.18</v>
      </c>
      <c r="Q161" s="6">
        <v>45582</v>
      </c>
      <c r="R161" s="6">
        <v>45588</v>
      </c>
      <c r="S161" s="4" t="s">
        <v>86</v>
      </c>
      <c r="T161" s="4" t="s">
        <v>56</v>
      </c>
      <c r="U161" s="4" t="s">
        <v>87</v>
      </c>
      <c r="V161" s="4" t="s">
        <v>125</v>
      </c>
    </row>
    <row r="162" spans="1:22" ht="18" customHeight="1" x14ac:dyDescent="0.3">
      <c r="A162" s="25" t="s">
        <v>626</v>
      </c>
      <c r="B162" s="25" t="s">
        <v>627</v>
      </c>
      <c r="C162" s="26" t="s">
        <v>628</v>
      </c>
      <c r="D162" s="26" t="s">
        <v>3</v>
      </c>
      <c r="E162" s="26" t="s">
        <v>3</v>
      </c>
      <c r="F162" s="26" t="s">
        <v>52</v>
      </c>
      <c r="G162" s="26" t="s">
        <v>53</v>
      </c>
      <c r="H162" s="26" t="s">
        <v>277</v>
      </c>
      <c r="I162" s="25">
        <v>4</v>
      </c>
      <c r="J162" s="27">
        <v>46539.89</v>
      </c>
      <c r="K162" s="27">
        <v>0</v>
      </c>
      <c r="L162" s="27">
        <v>46539.89</v>
      </c>
      <c r="M162" s="27">
        <v>186159.56</v>
      </c>
      <c r="N162" s="27">
        <v>92299.06</v>
      </c>
      <c r="O162" s="27">
        <v>93860.5</v>
      </c>
      <c r="P162" s="28">
        <v>50.42</v>
      </c>
      <c r="Q162" s="29">
        <v>45113</v>
      </c>
      <c r="R162" s="29">
        <v>45118</v>
      </c>
      <c r="S162" s="26" t="s">
        <v>55</v>
      </c>
      <c r="T162" s="26" t="s">
        <v>56</v>
      </c>
      <c r="U162" s="26" t="s">
        <v>57</v>
      </c>
      <c r="V162" s="26" t="s">
        <v>58</v>
      </c>
    </row>
    <row r="163" spans="1:22" ht="18" customHeight="1" x14ac:dyDescent="0.3">
      <c r="A163" s="3" t="s">
        <v>629</v>
      </c>
      <c r="B163" s="3" t="s">
        <v>630</v>
      </c>
      <c r="C163" s="4" t="s">
        <v>631</v>
      </c>
      <c r="D163" s="4" t="s">
        <v>4</v>
      </c>
      <c r="E163" s="4" t="s">
        <v>62</v>
      </c>
      <c r="F163" s="4" t="s">
        <v>63</v>
      </c>
      <c r="G163" s="4" t="s">
        <v>64</v>
      </c>
      <c r="H163" s="4" t="s">
        <v>632</v>
      </c>
      <c r="I163" s="3">
        <v>8</v>
      </c>
      <c r="J163" s="5">
        <v>41890.39</v>
      </c>
      <c r="K163" s="5">
        <v>25</v>
      </c>
      <c r="L163" s="5">
        <v>31417.79</v>
      </c>
      <c r="M163" s="5">
        <v>251342.32</v>
      </c>
      <c r="N163" s="5">
        <v>145048.18</v>
      </c>
      <c r="O163" s="5">
        <v>106294.14</v>
      </c>
      <c r="P163" s="24">
        <v>42.29</v>
      </c>
      <c r="Q163" s="6">
        <v>45006</v>
      </c>
      <c r="R163" s="6">
        <v>45012</v>
      </c>
      <c r="S163" s="4" t="s">
        <v>66</v>
      </c>
      <c r="T163" s="4" t="s">
        <v>56</v>
      </c>
      <c r="U163" s="4" t="s">
        <v>67</v>
      </c>
      <c r="V163" s="4" t="s">
        <v>68</v>
      </c>
    </row>
    <row r="164" spans="1:22" ht="18" customHeight="1" x14ac:dyDescent="0.3">
      <c r="A164" s="25" t="s">
        <v>633</v>
      </c>
      <c r="B164" s="25" t="s">
        <v>360</v>
      </c>
      <c r="C164" s="26" t="s">
        <v>634</v>
      </c>
      <c r="D164" s="26" t="s">
        <v>5</v>
      </c>
      <c r="E164" s="26" t="s">
        <v>72</v>
      </c>
      <c r="F164" s="26" t="s">
        <v>73</v>
      </c>
      <c r="G164" s="26" t="s">
        <v>74</v>
      </c>
      <c r="H164" s="26" t="s">
        <v>455</v>
      </c>
      <c r="I164" s="25">
        <v>6</v>
      </c>
      <c r="J164" s="27">
        <v>547.04999999999995</v>
      </c>
      <c r="K164" s="27">
        <v>0</v>
      </c>
      <c r="L164" s="27">
        <v>547.04999999999995</v>
      </c>
      <c r="M164" s="27">
        <v>3282.3</v>
      </c>
      <c r="N164" s="27">
        <v>1600.05</v>
      </c>
      <c r="O164" s="27">
        <v>1682.25</v>
      </c>
      <c r="P164" s="28">
        <v>51.25</v>
      </c>
      <c r="Q164" s="29">
        <v>45576</v>
      </c>
      <c r="R164" s="29">
        <v>45584</v>
      </c>
      <c r="S164" s="26" t="s">
        <v>76</v>
      </c>
      <c r="T164" s="26" t="s">
        <v>235</v>
      </c>
      <c r="U164" s="26" t="s">
        <v>77</v>
      </c>
      <c r="V164" s="26" t="s">
        <v>78</v>
      </c>
    </row>
    <row r="165" spans="1:22" ht="18" customHeight="1" x14ac:dyDescent="0.3">
      <c r="A165" s="3" t="s">
        <v>635</v>
      </c>
      <c r="B165" s="3" t="s">
        <v>636</v>
      </c>
      <c r="C165" s="4" t="s">
        <v>338</v>
      </c>
      <c r="D165" s="4" t="s">
        <v>6</v>
      </c>
      <c r="E165" s="4" t="s">
        <v>82</v>
      </c>
      <c r="F165" s="4" t="s">
        <v>83</v>
      </c>
      <c r="G165" s="4" t="s">
        <v>84</v>
      </c>
      <c r="H165" s="4" t="s">
        <v>85</v>
      </c>
      <c r="I165" s="3">
        <v>1</v>
      </c>
      <c r="J165" s="5">
        <v>7060.16</v>
      </c>
      <c r="K165" s="5">
        <v>10</v>
      </c>
      <c r="L165" s="5">
        <v>6354.14</v>
      </c>
      <c r="M165" s="5">
        <v>6354.14</v>
      </c>
      <c r="N165" s="5">
        <v>2869.25</v>
      </c>
      <c r="O165" s="5">
        <v>3484.89</v>
      </c>
      <c r="P165" s="24">
        <v>54.84</v>
      </c>
      <c r="Q165" s="6">
        <v>45257</v>
      </c>
      <c r="R165" s="6">
        <v>45266</v>
      </c>
      <c r="S165" s="4" t="s">
        <v>86</v>
      </c>
      <c r="T165" s="4" t="s">
        <v>235</v>
      </c>
      <c r="U165" s="4" t="s">
        <v>87</v>
      </c>
      <c r="V165" s="4" t="s">
        <v>88</v>
      </c>
    </row>
    <row r="166" spans="1:22" ht="18" customHeight="1" x14ac:dyDescent="0.3">
      <c r="A166" s="25" t="s">
        <v>637</v>
      </c>
      <c r="B166" s="25" t="s">
        <v>638</v>
      </c>
      <c r="C166" s="26" t="s">
        <v>178</v>
      </c>
      <c r="D166" s="26" t="s">
        <v>7</v>
      </c>
      <c r="E166" s="26" t="s">
        <v>92</v>
      </c>
      <c r="F166" s="26" t="s">
        <v>93</v>
      </c>
      <c r="G166" s="26" t="s">
        <v>94</v>
      </c>
      <c r="H166" s="26" t="s">
        <v>124</v>
      </c>
      <c r="I166" s="25">
        <v>4</v>
      </c>
      <c r="J166" s="27">
        <v>3331.63</v>
      </c>
      <c r="K166" s="27">
        <v>30</v>
      </c>
      <c r="L166" s="27">
        <v>2332.14</v>
      </c>
      <c r="M166" s="27">
        <v>9328.56</v>
      </c>
      <c r="N166" s="27">
        <v>5209.3900000000003</v>
      </c>
      <c r="O166" s="27">
        <v>4119.17</v>
      </c>
      <c r="P166" s="28">
        <v>44.16</v>
      </c>
      <c r="Q166" s="29">
        <v>45548</v>
      </c>
      <c r="R166" s="29">
        <v>45550</v>
      </c>
      <c r="S166" s="26" t="s">
        <v>55</v>
      </c>
      <c r="T166" s="26" t="s">
        <v>56</v>
      </c>
      <c r="U166" s="26" t="s">
        <v>57</v>
      </c>
      <c r="V166" s="26" t="s">
        <v>96</v>
      </c>
    </row>
    <row r="167" spans="1:22" ht="18" customHeight="1" x14ac:dyDescent="0.3">
      <c r="A167" s="3" t="s">
        <v>639</v>
      </c>
      <c r="B167" s="3" t="s">
        <v>640</v>
      </c>
      <c r="C167" s="4" t="s">
        <v>641</v>
      </c>
      <c r="D167" s="4" t="s">
        <v>8</v>
      </c>
      <c r="E167" s="4" t="s">
        <v>100</v>
      </c>
      <c r="F167" s="4" t="s">
        <v>52</v>
      </c>
      <c r="G167" s="4" t="s">
        <v>53</v>
      </c>
      <c r="H167" s="4" t="s">
        <v>528</v>
      </c>
      <c r="I167" s="3">
        <v>4</v>
      </c>
      <c r="J167" s="5">
        <v>20114.97</v>
      </c>
      <c r="K167" s="5">
        <v>15</v>
      </c>
      <c r="L167" s="5">
        <v>17097.72</v>
      </c>
      <c r="M167" s="5">
        <v>68390.880000000005</v>
      </c>
      <c r="N167" s="5">
        <v>47650.49</v>
      </c>
      <c r="O167" s="5">
        <v>20740.39</v>
      </c>
      <c r="P167" s="24">
        <v>30.33</v>
      </c>
      <c r="Q167" s="6">
        <v>45021</v>
      </c>
      <c r="R167" s="6">
        <v>45022</v>
      </c>
      <c r="S167" s="4" t="s">
        <v>66</v>
      </c>
      <c r="T167" s="4" t="s">
        <v>56</v>
      </c>
      <c r="U167" s="4" t="s">
        <v>67</v>
      </c>
      <c r="V167" s="4" t="s">
        <v>103</v>
      </c>
    </row>
    <row r="168" spans="1:22" ht="18" customHeight="1" x14ac:dyDescent="0.3">
      <c r="A168" s="25" t="s">
        <v>642</v>
      </c>
      <c r="B168" s="25" t="s">
        <v>643</v>
      </c>
      <c r="C168" s="26" t="s">
        <v>644</v>
      </c>
      <c r="D168" s="26" t="s">
        <v>23</v>
      </c>
      <c r="E168" s="26" t="s">
        <v>107</v>
      </c>
      <c r="F168" s="26" t="s">
        <v>63</v>
      </c>
      <c r="G168" s="26" t="s">
        <v>64</v>
      </c>
      <c r="H168" s="26" t="s">
        <v>108</v>
      </c>
      <c r="I168" s="25">
        <v>4</v>
      </c>
      <c r="J168" s="27">
        <v>43742.36</v>
      </c>
      <c r="K168" s="27">
        <v>15</v>
      </c>
      <c r="L168" s="27">
        <v>37181.01</v>
      </c>
      <c r="M168" s="27">
        <v>148724.04</v>
      </c>
      <c r="N168" s="27">
        <v>69996.58</v>
      </c>
      <c r="O168" s="27">
        <v>78727.460000000006</v>
      </c>
      <c r="P168" s="28">
        <v>52.94</v>
      </c>
      <c r="Q168" s="29">
        <v>44977</v>
      </c>
      <c r="R168" s="29">
        <v>44987</v>
      </c>
      <c r="S168" s="26" t="s">
        <v>76</v>
      </c>
      <c r="T168" s="26" t="s">
        <v>56</v>
      </c>
      <c r="U168" s="26" t="s">
        <v>77</v>
      </c>
      <c r="V168" s="26" t="s">
        <v>109</v>
      </c>
    </row>
    <row r="169" spans="1:22" ht="18" customHeight="1" x14ac:dyDescent="0.3">
      <c r="A169" s="3" t="s">
        <v>645</v>
      </c>
      <c r="B169" s="3" t="s">
        <v>646</v>
      </c>
      <c r="C169" s="4" t="s">
        <v>647</v>
      </c>
      <c r="D169" s="4" t="s">
        <v>24</v>
      </c>
      <c r="E169" s="4" t="s">
        <v>113</v>
      </c>
      <c r="F169" s="4" t="s">
        <v>73</v>
      </c>
      <c r="G169" s="4" t="s">
        <v>74</v>
      </c>
      <c r="H169" s="4" t="s">
        <v>577</v>
      </c>
      <c r="I169" s="3">
        <v>1</v>
      </c>
      <c r="J169" s="5">
        <v>36461.71</v>
      </c>
      <c r="K169" s="5">
        <v>20</v>
      </c>
      <c r="L169" s="5">
        <v>29169.37</v>
      </c>
      <c r="M169" s="5">
        <v>29169.37</v>
      </c>
      <c r="N169" s="5">
        <v>15316.89</v>
      </c>
      <c r="O169" s="5">
        <v>13852.48</v>
      </c>
      <c r="P169" s="24">
        <v>47.49</v>
      </c>
      <c r="Q169" s="6">
        <v>45541</v>
      </c>
      <c r="R169" s="6">
        <v>45549</v>
      </c>
      <c r="S169" s="4" t="s">
        <v>86</v>
      </c>
      <c r="T169" s="4" t="s">
        <v>235</v>
      </c>
      <c r="U169" s="4" t="s">
        <v>87</v>
      </c>
      <c r="V169" s="4" t="s">
        <v>115</v>
      </c>
    </row>
    <row r="170" spans="1:22" ht="18" customHeight="1" x14ac:dyDescent="0.3">
      <c r="A170" s="25" t="s">
        <v>648</v>
      </c>
      <c r="B170" s="25" t="s">
        <v>649</v>
      </c>
      <c r="C170" s="26" t="s">
        <v>650</v>
      </c>
      <c r="D170" s="26" t="s">
        <v>25</v>
      </c>
      <c r="E170" s="26" t="s">
        <v>107</v>
      </c>
      <c r="F170" s="26" t="s">
        <v>83</v>
      </c>
      <c r="G170" s="26" t="s">
        <v>84</v>
      </c>
      <c r="H170" s="26" t="s">
        <v>141</v>
      </c>
      <c r="I170" s="25">
        <v>1</v>
      </c>
      <c r="J170" s="27">
        <v>23402.67</v>
      </c>
      <c r="K170" s="27">
        <v>25</v>
      </c>
      <c r="L170" s="27">
        <v>17552</v>
      </c>
      <c r="M170" s="27">
        <v>17552</v>
      </c>
      <c r="N170" s="27">
        <v>12859.97</v>
      </c>
      <c r="O170" s="27">
        <v>4692.03</v>
      </c>
      <c r="P170" s="28">
        <v>26.73</v>
      </c>
      <c r="Q170" s="29">
        <v>45076</v>
      </c>
      <c r="R170" s="29">
        <v>45080</v>
      </c>
      <c r="S170" s="26" t="s">
        <v>55</v>
      </c>
      <c r="T170" s="26" t="s">
        <v>56</v>
      </c>
      <c r="U170" s="26" t="s">
        <v>57</v>
      </c>
      <c r="V170" s="26" t="s">
        <v>120</v>
      </c>
    </row>
    <row r="171" spans="1:22" ht="18" customHeight="1" x14ac:dyDescent="0.3">
      <c r="A171" s="3" t="s">
        <v>651</v>
      </c>
      <c r="B171" s="3" t="s">
        <v>652</v>
      </c>
      <c r="C171" s="4" t="s">
        <v>653</v>
      </c>
      <c r="D171" s="4" t="s">
        <v>9</v>
      </c>
      <c r="E171" s="4" t="s">
        <v>62</v>
      </c>
      <c r="F171" s="4" t="s">
        <v>93</v>
      </c>
      <c r="G171" s="4" t="s">
        <v>94</v>
      </c>
      <c r="H171" s="4" t="s">
        <v>509</v>
      </c>
      <c r="I171" s="3">
        <v>2</v>
      </c>
      <c r="J171" s="5">
        <v>9371.7099999999991</v>
      </c>
      <c r="K171" s="5">
        <v>0</v>
      </c>
      <c r="L171" s="5">
        <v>9371.7099999999991</v>
      </c>
      <c r="M171" s="5">
        <v>18743.419999999998</v>
      </c>
      <c r="N171" s="5">
        <v>13332.78</v>
      </c>
      <c r="O171" s="5">
        <v>5410.64</v>
      </c>
      <c r="P171" s="24">
        <v>28.87</v>
      </c>
      <c r="Q171" s="6">
        <v>45320</v>
      </c>
      <c r="R171" s="6">
        <v>45324</v>
      </c>
      <c r="S171" s="4" t="s">
        <v>66</v>
      </c>
      <c r="T171" s="4" t="s">
        <v>56</v>
      </c>
      <c r="U171" s="4" t="s">
        <v>67</v>
      </c>
      <c r="V171" s="4" t="s">
        <v>125</v>
      </c>
    </row>
    <row r="172" spans="1:22" ht="18" customHeight="1" x14ac:dyDescent="0.3">
      <c r="A172" s="25" t="s">
        <v>654</v>
      </c>
      <c r="B172" s="25" t="s">
        <v>655</v>
      </c>
      <c r="C172" s="26" t="s">
        <v>656</v>
      </c>
      <c r="D172" s="26" t="s">
        <v>3</v>
      </c>
      <c r="E172" s="26" t="s">
        <v>3</v>
      </c>
      <c r="F172" s="26" t="s">
        <v>52</v>
      </c>
      <c r="G172" s="26" t="s">
        <v>53</v>
      </c>
      <c r="H172" s="26" t="s">
        <v>657</v>
      </c>
      <c r="I172" s="25">
        <v>2</v>
      </c>
      <c r="J172" s="27">
        <v>45693.83</v>
      </c>
      <c r="K172" s="27">
        <v>5</v>
      </c>
      <c r="L172" s="27">
        <v>43409.14</v>
      </c>
      <c r="M172" s="27">
        <v>86818.28</v>
      </c>
      <c r="N172" s="27">
        <v>48790.57</v>
      </c>
      <c r="O172" s="27">
        <v>38027.71</v>
      </c>
      <c r="P172" s="28">
        <v>43.8</v>
      </c>
      <c r="Q172" s="29">
        <v>45157</v>
      </c>
      <c r="R172" s="29">
        <v>45166</v>
      </c>
      <c r="S172" s="26" t="s">
        <v>76</v>
      </c>
      <c r="T172" s="26" t="s">
        <v>56</v>
      </c>
      <c r="U172" s="26" t="s">
        <v>77</v>
      </c>
      <c r="V172" s="26" t="s">
        <v>58</v>
      </c>
    </row>
    <row r="173" spans="1:22" ht="18" customHeight="1" x14ac:dyDescent="0.3">
      <c r="A173" s="3" t="s">
        <v>658</v>
      </c>
      <c r="B173" s="3" t="s">
        <v>659</v>
      </c>
      <c r="C173" s="4" t="s">
        <v>660</v>
      </c>
      <c r="D173" s="4" t="s">
        <v>4</v>
      </c>
      <c r="E173" s="4" t="s">
        <v>62</v>
      </c>
      <c r="F173" s="4" t="s">
        <v>63</v>
      </c>
      <c r="G173" s="4" t="s">
        <v>64</v>
      </c>
      <c r="H173" s="4" t="s">
        <v>545</v>
      </c>
      <c r="I173" s="3">
        <v>9</v>
      </c>
      <c r="J173" s="5">
        <v>26624.59</v>
      </c>
      <c r="K173" s="5">
        <v>25</v>
      </c>
      <c r="L173" s="5">
        <v>19968.439999999999</v>
      </c>
      <c r="M173" s="5">
        <v>179715.96</v>
      </c>
      <c r="N173" s="5">
        <v>98759.29</v>
      </c>
      <c r="O173" s="5">
        <v>80956.67</v>
      </c>
      <c r="P173" s="24">
        <v>45.05</v>
      </c>
      <c r="Q173" s="6">
        <v>45229</v>
      </c>
      <c r="R173" s="6">
        <v>45232</v>
      </c>
      <c r="S173" s="4" t="s">
        <v>86</v>
      </c>
      <c r="T173" s="4" t="s">
        <v>56</v>
      </c>
      <c r="U173" s="4" t="s">
        <v>87</v>
      </c>
      <c r="V173" s="4" t="s">
        <v>68</v>
      </c>
    </row>
    <row r="174" spans="1:22" ht="18" customHeight="1" x14ac:dyDescent="0.3">
      <c r="A174" s="25" t="s">
        <v>661</v>
      </c>
      <c r="B174" s="25" t="s">
        <v>662</v>
      </c>
      <c r="C174" s="26" t="s">
        <v>663</v>
      </c>
      <c r="D174" s="26" t="s">
        <v>5</v>
      </c>
      <c r="E174" s="26" t="s">
        <v>72</v>
      </c>
      <c r="F174" s="26" t="s">
        <v>73</v>
      </c>
      <c r="G174" s="26" t="s">
        <v>74</v>
      </c>
      <c r="H174" s="26" t="s">
        <v>386</v>
      </c>
      <c r="I174" s="25">
        <v>7</v>
      </c>
      <c r="J174" s="27">
        <v>49510.720000000001</v>
      </c>
      <c r="K174" s="27">
        <v>5</v>
      </c>
      <c r="L174" s="27">
        <v>47035.18</v>
      </c>
      <c r="M174" s="27">
        <v>329246.26</v>
      </c>
      <c r="N174" s="27">
        <v>188405.36</v>
      </c>
      <c r="O174" s="27">
        <v>140840.9</v>
      </c>
      <c r="P174" s="28">
        <v>42.78</v>
      </c>
      <c r="Q174" s="29">
        <v>45493</v>
      </c>
      <c r="R174" s="29">
        <v>45496</v>
      </c>
      <c r="S174" s="26" t="s">
        <v>55</v>
      </c>
      <c r="T174" s="26" t="s">
        <v>56</v>
      </c>
      <c r="U174" s="26" t="s">
        <v>57</v>
      </c>
      <c r="V174" s="26" t="s">
        <v>78</v>
      </c>
    </row>
    <row r="175" spans="1:22" ht="18" customHeight="1" x14ac:dyDescent="0.3">
      <c r="A175" s="3" t="s">
        <v>664</v>
      </c>
      <c r="B175" s="3" t="s">
        <v>579</v>
      </c>
      <c r="C175" s="4" t="s">
        <v>665</v>
      </c>
      <c r="D175" s="4" t="s">
        <v>6</v>
      </c>
      <c r="E175" s="4" t="s">
        <v>82</v>
      </c>
      <c r="F175" s="4" t="s">
        <v>83</v>
      </c>
      <c r="G175" s="4" t="s">
        <v>84</v>
      </c>
      <c r="H175" s="4" t="s">
        <v>141</v>
      </c>
      <c r="I175" s="3">
        <v>6</v>
      </c>
      <c r="J175" s="5">
        <v>12258.75</v>
      </c>
      <c r="K175" s="5">
        <v>5</v>
      </c>
      <c r="L175" s="5">
        <v>11645.81</v>
      </c>
      <c r="M175" s="5">
        <v>69874.86</v>
      </c>
      <c r="N175" s="5">
        <v>40608.410000000003</v>
      </c>
      <c r="O175" s="5">
        <v>29266.45</v>
      </c>
      <c r="P175" s="24">
        <v>41.88</v>
      </c>
      <c r="Q175" s="6">
        <v>45496</v>
      </c>
      <c r="R175" s="6">
        <v>45500</v>
      </c>
      <c r="S175" s="4" t="s">
        <v>66</v>
      </c>
      <c r="T175" s="4" t="s">
        <v>235</v>
      </c>
      <c r="U175" s="4" t="s">
        <v>67</v>
      </c>
      <c r="V175" s="4" t="s">
        <v>88</v>
      </c>
    </row>
    <row r="176" spans="1:22" ht="18" customHeight="1" x14ac:dyDescent="0.3">
      <c r="A176" s="25" t="s">
        <v>666</v>
      </c>
      <c r="B176" s="25" t="s">
        <v>667</v>
      </c>
      <c r="C176" s="26" t="s">
        <v>668</v>
      </c>
      <c r="D176" s="26" t="s">
        <v>7</v>
      </c>
      <c r="E176" s="26" t="s">
        <v>92</v>
      </c>
      <c r="F176" s="26" t="s">
        <v>93</v>
      </c>
      <c r="G176" s="26" t="s">
        <v>94</v>
      </c>
      <c r="H176" s="26" t="s">
        <v>164</v>
      </c>
      <c r="I176" s="25">
        <v>6</v>
      </c>
      <c r="J176" s="27">
        <v>23032.54</v>
      </c>
      <c r="K176" s="27">
        <v>5</v>
      </c>
      <c r="L176" s="27">
        <v>21880.91</v>
      </c>
      <c r="M176" s="27">
        <v>131285.46</v>
      </c>
      <c r="N176" s="27">
        <v>94898.37</v>
      </c>
      <c r="O176" s="27">
        <v>36387.089999999997</v>
      </c>
      <c r="P176" s="28">
        <v>27.72</v>
      </c>
      <c r="Q176" s="29">
        <v>45108</v>
      </c>
      <c r="R176" s="29">
        <v>45118</v>
      </c>
      <c r="S176" s="26" t="s">
        <v>76</v>
      </c>
      <c r="T176" s="26" t="s">
        <v>56</v>
      </c>
      <c r="U176" s="26" t="s">
        <v>77</v>
      </c>
      <c r="V176" s="26" t="s">
        <v>96</v>
      </c>
    </row>
    <row r="177" spans="1:22" ht="18" customHeight="1" x14ac:dyDescent="0.3">
      <c r="A177" s="3" t="s">
        <v>669</v>
      </c>
      <c r="B177" s="3" t="s">
        <v>670</v>
      </c>
      <c r="C177" s="4" t="s">
        <v>671</v>
      </c>
      <c r="D177" s="4" t="s">
        <v>8</v>
      </c>
      <c r="E177" s="4" t="s">
        <v>100</v>
      </c>
      <c r="F177" s="4" t="s">
        <v>52</v>
      </c>
      <c r="G177" s="4" t="s">
        <v>53</v>
      </c>
      <c r="H177" s="4" t="s">
        <v>149</v>
      </c>
      <c r="I177" s="3">
        <v>3</v>
      </c>
      <c r="J177" s="5">
        <v>30574.32</v>
      </c>
      <c r="K177" s="5">
        <v>0</v>
      </c>
      <c r="L177" s="5">
        <v>30574.32</v>
      </c>
      <c r="M177" s="5">
        <v>91722.96</v>
      </c>
      <c r="N177" s="5">
        <v>56744.95</v>
      </c>
      <c r="O177" s="5">
        <v>34978.01</v>
      </c>
      <c r="P177" s="24">
        <v>38.130000000000003</v>
      </c>
      <c r="Q177" s="6">
        <v>45210</v>
      </c>
      <c r="R177" s="6">
        <v>45220</v>
      </c>
      <c r="S177" s="4" t="s">
        <v>86</v>
      </c>
      <c r="T177" s="4" t="s">
        <v>56</v>
      </c>
      <c r="U177" s="4" t="s">
        <v>87</v>
      </c>
      <c r="V177" s="4" t="s">
        <v>103</v>
      </c>
    </row>
    <row r="178" spans="1:22" ht="18" customHeight="1" x14ac:dyDescent="0.3">
      <c r="A178" s="25" t="s">
        <v>672</v>
      </c>
      <c r="B178" s="25" t="s">
        <v>673</v>
      </c>
      <c r="C178" s="26" t="s">
        <v>674</v>
      </c>
      <c r="D178" s="26" t="s">
        <v>23</v>
      </c>
      <c r="E178" s="26" t="s">
        <v>107</v>
      </c>
      <c r="F178" s="26" t="s">
        <v>63</v>
      </c>
      <c r="G178" s="26" t="s">
        <v>64</v>
      </c>
      <c r="H178" s="26" t="s">
        <v>545</v>
      </c>
      <c r="I178" s="25">
        <v>6</v>
      </c>
      <c r="J178" s="27">
        <v>448.31</v>
      </c>
      <c r="K178" s="27">
        <v>30</v>
      </c>
      <c r="L178" s="27">
        <v>313.82</v>
      </c>
      <c r="M178" s="27">
        <v>1882.92</v>
      </c>
      <c r="N178" s="27">
        <v>1147.6099999999999</v>
      </c>
      <c r="O178" s="27">
        <v>735.31</v>
      </c>
      <c r="P178" s="28">
        <v>39.049999999999997</v>
      </c>
      <c r="Q178" s="29">
        <v>45287</v>
      </c>
      <c r="R178" s="29">
        <v>45290</v>
      </c>
      <c r="S178" s="26" t="s">
        <v>55</v>
      </c>
      <c r="T178" s="26" t="s">
        <v>56</v>
      </c>
      <c r="U178" s="26" t="s">
        <v>57</v>
      </c>
      <c r="V178" s="26" t="s">
        <v>109</v>
      </c>
    </row>
    <row r="179" spans="1:22" ht="18" customHeight="1" x14ac:dyDescent="0.3">
      <c r="A179" s="3" t="s">
        <v>675</v>
      </c>
      <c r="B179" s="3" t="s">
        <v>676</v>
      </c>
      <c r="C179" s="4" t="s">
        <v>677</v>
      </c>
      <c r="D179" s="4" t="s">
        <v>24</v>
      </c>
      <c r="E179" s="4" t="s">
        <v>113</v>
      </c>
      <c r="F179" s="4" t="s">
        <v>73</v>
      </c>
      <c r="G179" s="4" t="s">
        <v>74</v>
      </c>
      <c r="H179" s="4" t="s">
        <v>230</v>
      </c>
      <c r="I179" s="3">
        <v>6</v>
      </c>
      <c r="J179" s="5">
        <v>31395.35</v>
      </c>
      <c r="K179" s="5">
        <v>25</v>
      </c>
      <c r="L179" s="5">
        <v>23546.51</v>
      </c>
      <c r="M179" s="5">
        <v>141279.06</v>
      </c>
      <c r="N179" s="5">
        <v>103454.39999999999</v>
      </c>
      <c r="O179" s="5">
        <v>37824.660000000003</v>
      </c>
      <c r="P179" s="24">
        <v>26.77</v>
      </c>
      <c r="Q179" s="6">
        <v>45106</v>
      </c>
      <c r="R179" s="6">
        <v>45116</v>
      </c>
      <c r="S179" s="4" t="s">
        <v>66</v>
      </c>
      <c r="T179" s="4" t="s">
        <v>56</v>
      </c>
      <c r="U179" s="4" t="s">
        <v>67</v>
      </c>
      <c r="V179" s="4" t="s">
        <v>115</v>
      </c>
    </row>
    <row r="180" spans="1:22" ht="18" customHeight="1" x14ac:dyDescent="0.3">
      <c r="A180" s="25" t="s">
        <v>678</v>
      </c>
      <c r="B180" s="25" t="s">
        <v>679</v>
      </c>
      <c r="C180" s="26" t="s">
        <v>680</v>
      </c>
      <c r="D180" s="26" t="s">
        <v>25</v>
      </c>
      <c r="E180" s="26" t="s">
        <v>107</v>
      </c>
      <c r="F180" s="26" t="s">
        <v>83</v>
      </c>
      <c r="G180" s="26" t="s">
        <v>84</v>
      </c>
      <c r="H180" s="26" t="s">
        <v>215</v>
      </c>
      <c r="I180" s="25">
        <v>1</v>
      </c>
      <c r="J180" s="27">
        <v>39912.730000000003</v>
      </c>
      <c r="K180" s="27">
        <v>30</v>
      </c>
      <c r="L180" s="27">
        <v>27938.91</v>
      </c>
      <c r="M180" s="27">
        <v>27938.91</v>
      </c>
      <c r="N180" s="27">
        <v>15526.7</v>
      </c>
      <c r="O180" s="27">
        <v>12412.21</v>
      </c>
      <c r="P180" s="28">
        <v>44.43</v>
      </c>
      <c r="Q180" s="29">
        <v>45048</v>
      </c>
      <c r="R180" s="29">
        <v>45054</v>
      </c>
      <c r="S180" s="26" t="s">
        <v>76</v>
      </c>
      <c r="T180" s="26" t="s">
        <v>56</v>
      </c>
      <c r="U180" s="26" t="s">
        <v>77</v>
      </c>
      <c r="V180" s="26" t="s">
        <v>120</v>
      </c>
    </row>
    <row r="181" spans="1:22" ht="18" customHeight="1" x14ac:dyDescent="0.3">
      <c r="A181" s="3" t="s">
        <v>681</v>
      </c>
      <c r="B181" s="3" t="s">
        <v>682</v>
      </c>
      <c r="C181" s="4" t="s">
        <v>683</v>
      </c>
      <c r="D181" s="4" t="s">
        <v>9</v>
      </c>
      <c r="E181" s="4" t="s">
        <v>62</v>
      </c>
      <c r="F181" s="4" t="s">
        <v>93</v>
      </c>
      <c r="G181" s="4" t="s">
        <v>94</v>
      </c>
      <c r="H181" s="4" t="s">
        <v>358</v>
      </c>
      <c r="I181" s="3">
        <v>10</v>
      </c>
      <c r="J181" s="5">
        <v>17793.32</v>
      </c>
      <c r="K181" s="5">
        <v>10</v>
      </c>
      <c r="L181" s="5">
        <v>16013.99</v>
      </c>
      <c r="M181" s="5">
        <v>160139.9</v>
      </c>
      <c r="N181" s="5">
        <v>92987.64</v>
      </c>
      <c r="O181" s="5">
        <v>67152.259999999995</v>
      </c>
      <c r="P181" s="24">
        <v>41.93</v>
      </c>
      <c r="Q181" s="6">
        <v>45128</v>
      </c>
      <c r="R181" s="6">
        <v>45130</v>
      </c>
      <c r="S181" s="4" t="s">
        <v>86</v>
      </c>
      <c r="T181" s="4" t="s">
        <v>56</v>
      </c>
      <c r="U181" s="4" t="s">
        <v>87</v>
      </c>
      <c r="V181" s="4" t="s">
        <v>125</v>
      </c>
    </row>
    <row r="182" spans="1:22" ht="18" customHeight="1" x14ac:dyDescent="0.3">
      <c r="A182" s="25" t="s">
        <v>684</v>
      </c>
      <c r="B182" s="25" t="s">
        <v>685</v>
      </c>
      <c r="C182" s="26" t="s">
        <v>686</v>
      </c>
      <c r="D182" s="26" t="s">
        <v>3</v>
      </c>
      <c r="E182" s="26" t="s">
        <v>3</v>
      </c>
      <c r="F182" s="26" t="s">
        <v>52</v>
      </c>
      <c r="G182" s="26" t="s">
        <v>53</v>
      </c>
      <c r="H182" s="26" t="s">
        <v>657</v>
      </c>
      <c r="I182" s="25">
        <v>10</v>
      </c>
      <c r="J182" s="27">
        <v>6899.72</v>
      </c>
      <c r="K182" s="27">
        <v>20</v>
      </c>
      <c r="L182" s="27">
        <v>5519.78</v>
      </c>
      <c r="M182" s="27">
        <v>55197.8</v>
      </c>
      <c r="N182" s="27">
        <v>31054.49</v>
      </c>
      <c r="O182" s="27">
        <v>24143.31</v>
      </c>
      <c r="P182" s="28">
        <v>43.74</v>
      </c>
      <c r="Q182" s="29">
        <v>45268</v>
      </c>
      <c r="R182" s="29">
        <v>45277</v>
      </c>
      <c r="S182" s="26" t="s">
        <v>55</v>
      </c>
      <c r="T182" s="26" t="s">
        <v>235</v>
      </c>
      <c r="U182" s="26" t="s">
        <v>57</v>
      </c>
      <c r="V182" s="26" t="s">
        <v>58</v>
      </c>
    </row>
    <row r="183" spans="1:22" ht="18" customHeight="1" x14ac:dyDescent="0.3">
      <c r="A183" s="3" t="s">
        <v>687</v>
      </c>
      <c r="B183" s="3" t="s">
        <v>688</v>
      </c>
      <c r="C183" s="4" t="s">
        <v>689</v>
      </c>
      <c r="D183" s="4" t="s">
        <v>4</v>
      </c>
      <c r="E183" s="4" t="s">
        <v>62</v>
      </c>
      <c r="F183" s="4" t="s">
        <v>63</v>
      </c>
      <c r="G183" s="4" t="s">
        <v>64</v>
      </c>
      <c r="H183" s="4" t="s">
        <v>690</v>
      </c>
      <c r="I183" s="3">
        <v>8</v>
      </c>
      <c r="J183" s="5">
        <v>47814.6</v>
      </c>
      <c r="K183" s="5">
        <v>5</v>
      </c>
      <c r="L183" s="5">
        <v>45423.87</v>
      </c>
      <c r="M183" s="5">
        <v>363390.96</v>
      </c>
      <c r="N183" s="5">
        <v>235254.61</v>
      </c>
      <c r="O183" s="5">
        <v>128136.35</v>
      </c>
      <c r="P183" s="24">
        <v>35.26</v>
      </c>
      <c r="Q183" s="6">
        <v>45569</v>
      </c>
      <c r="R183" s="6">
        <v>45575</v>
      </c>
      <c r="S183" s="4" t="s">
        <v>66</v>
      </c>
      <c r="T183" s="4" t="s">
        <v>102</v>
      </c>
      <c r="U183" s="4" t="s">
        <v>67</v>
      </c>
      <c r="V183" s="4" t="s">
        <v>68</v>
      </c>
    </row>
    <row r="184" spans="1:22" ht="18" customHeight="1" x14ac:dyDescent="0.3">
      <c r="A184" s="25" t="s">
        <v>691</v>
      </c>
      <c r="B184" s="25" t="s">
        <v>692</v>
      </c>
      <c r="C184" s="26" t="s">
        <v>136</v>
      </c>
      <c r="D184" s="26" t="s">
        <v>5</v>
      </c>
      <c r="E184" s="26" t="s">
        <v>72</v>
      </c>
      <c r="F184" s="26" t="s">
        <v>73</v>
      </c>
      <c r="G184" s="26" t="s">
        <v>74</v>
      </c>
      <c r="H184" s="26" t="s">
        <v>267</v>
      </c>
      <c r="I184" s="25">
        <v>5</v>
      </c>
      <c r="J184" s="27">
        <v>31164.46</v>
      </c>
      <c r="K184" s="27">
        <v>30</v>
      </c>
      <c r="L184" s="27">
        <v>21815.119999999999</v>
      </c>
      <c r="M184" s="27">
        <v>109075.6</v>
      </c>
      <c r="N184" s="27">
        <v>50904.86</v>
      </c>
      <c r="O184" s="27">
        <v>58170.74</v>
      </c>
      <c r="P184" s="28">
        <v>53.33</v>
      </c>
      <c r="Q184" s="29">
        <v>45308</v>
      </c>
      <c r="R184" s="29">
        <v>45316</v>
      </c>
      <c r="S184" s="26" t="s">
        <v>76</v>
      </c>
      <c r="T184" s="26" t="s">
        <v>56</v>
      </c>
      <c r="U184" s="26" t="s">
        <v>77</v>
      </c>
      <c r="V184" s="26" t="s">
        <v>78</v>
      </c>
    </row>
    <row r="185" spans="1:22" ht="18" customHeight="1" x14ac:dyDescent="0.3">
      <c r="A185" s="3" t="s">
        <v>693</v>
      </c>
      <c r="B185" s="3" t="s">
        <v>694</v>
      </c>
      <c r="C185" s="4" t="s">
        <v>695</v>
      </c>
      <c r="D185" s="4" t="s">
        <v>6</v>
      </c>
      <c r="E185" s="4" t="s">
        <v>82</v>
      </c>
      <c r="F185" s="4" t="s">
        <v>83</v>
      </c>
      <c r="G185" s="4" t="s">
        <v>84</v>
      </c>
      <c r="H185" s="4" t="s">
        <v>304</v>
      </c>
      <c r="I185" s="3">
        <v>7</v>
      </c>
      <c r="J185" s="5">
        <v>32236.42</v>
      </c>
      <c r="K185" s="5">
        <v>20</v>
      </c>
      <c r="L185" s="5">
        <v>25789.14</v>
      </c>
      <c r="M185" s="5">
        <v>180523.98</v>
      </c>
      <c r="N185" s="5">
        <v>106646.21</v>
      </c>
      <c r="O185" s="5">
        <v>73877.77</v>
      </c>
      <c r="P185" s="24">
        <v>40.92</v>
      </c>
      <c r="Q185" s="6">
        <v>45147</v>
      </c>
      <c r="R185" s="6">
        <v>45157</v>
      </c>
      <c r="S185" s="4" t="s">
        <v>86</v>
      </c>
      <c r="T185" s="4" t="s">
        <v>235</v>
      </c>
      <c r="U185" s="4" t="s">
        <v>87</v>
      </c>
      <c r="V185" s="4" t="s">
        <v>88</v>
      </c>
    </row>
    <row r="186" spans="1:22" ht="18" customHeight="1" x14ac:dyDescent="0.3">
      <c r="A186" s="25" t="s">
        <v>696</v>
      </c>
      <c r="B186" s="25" t="s">
        <v>697</v>
      </c>
      <c r="C186" s="26" t="s">
        <v>698</v>
      </c>
      <c r="D186" s="26" t="s">
        <v>7</v>
      </c>
      <c r="E186" s="26" t="s">
        <v>92</v>
      </c>
      <c r="F186" s="26" t="s">
        <v>93</v>
      </c>
      <c r="G186" s="26" t="s">
        <v>94</v>
      </c>
      <c r="H186" s="26" t="s">
        <v>699</v>
      </c>
      <c r="I186" s="25">
        <v>4</v>
      </c>
      <c r="J186" s="27">
        <v>45689.31</v>
      </c>
      <c r="K186" s="27">
        <v>30</v>
      </c>
      <c r="L186" s="27">
        <v>31982.52</v>
      </c>
      <c r="M186" s="27">
        <v>127930.08</v>
      </c>
      <c r="N186" s="27">
        <v>82776.800000000003</v>
      </c>
      <c r="O186" s="27">
        <v>45153.279999999999</v>
      </c>
      <c r="P186" s="28">
        <v>35.299999999999997</v>
      </c>
      <c r="Q186" s="29">
        <v>45459</v>
      </c>
      <c r="R186" s="29">
        <v>45468</v>
      </c>
      <c r="S186" s="26" t="s">
        <v>55</v>
      </c>
      <c r="T186" s="26" t="s">
        <v>56</v>
      </c>
      <c r="U186" s="26" t="s">
        <v>57</v>
      </c>
      <c r="V186" s="26" t="s">
        <v>96</v>
      </c>
    </row>
    <row r="187" spans="1:22" ht="18" customHeight="1" x14ac:dyDescent="0.3">
      <c r="A187" s="3" t="s">
        <v>700</v>
      </c>
      <c r="B187" s="3" t="s">
        <v>701</v>
      </c>
      <c r="C187" s="4" t="s">
        <v>702</v>
      </c>
      <c r="D187" s="4" t="s">
        <v>8</v>
      </c>
      <c r="E187" s="4" t="s">
        <v>100</v>
      </c>
      <c r="F187" s="4" t="s">
        <v>52</v>
      </c>
      <c r="G187" s="4" t="s">
        <v>53</v>
      </c>
      <c r="H187" s="4" t="s">
        <v>703</v>
      </c>
      <c r="I187" s="3">
        <v>6</v>
      </c>
      <c r="J187" s="5">
        <v>25507.96</v>
      </c>
      <c r="K187" s="5">
        <v>5</v>
      </c>
      <c r="L187" s="5">
        <v>24232.560000000001</v>
      </c>
      <c r="M187" s="5">
        <v>145395.35999999999</v>
      </c>
      <c r="N187" s="5">
        <v>93157.87</v>
      </c>
      <c r="O187" s="5">
        <v>52237.49</v>
      </c>
      <c r="P187" s="24">
        <v>35.93</v>
      </c>
      <c r="Q187" s="6">
        <v>45385</v>
      </c>
      <c r="R187" s="6">
        <v>45391</v>
      </c>
      <c r="S187" s="4" t="s">
        <v>66</v>
      </c>
      <c r="T187" s="4" t="s">
        <v>56</v>
      </c>
      <c r="U187" s="4" t="s">
        <v>67</v>
      </c>
      <c r="V187" s="4" t="s">
        <v>103</v>
      </c>
    </row>
    <row r="188" spans="1:22" ht="18" customHeight="1" x14ac:dyDescent="0.3">
      <c r="A188" s="25" t="s">
        <v>704</v>
      </c>
      <c r="B188" s="25" t="s">
        <v>705</v>
      </c>
      <c r="C188" s="26" t="s">
        <v>706</v>
      </c>
      <c r="D188" s="26" t="s">
        <v>23</v>
      </c>
      <c r="E188" s="26" t="s">
        <v>107</v>
      </c>
      <c r="F188" s="26" t="s">
        <v>63</v>
      </c>
      <c r="G188" s="26" t="s">
        <v>64</v>
      </c>
      <c r="H188" s="26" t="s">
        <v>707</v>
      </c>
      <c r="I188" s="25">
        <v>6</v>
      </c>
      <c r="J188" s="27">
        <v>32750.080000000002</v>
      </c>
      <c r="K188" s="27">
        <v>20</v>
      </c>
      <c r="L188" s="27">
        <v>26200.06</v>
      </c>
      <c r="M188" s="27">
        <v>157200.35999999999</v>
      </c>
      <c r="N188" s="27">
        <v>97294.75</v>
      </c>
      <c r="O188" s="27">
        <v>59905.61</v>
      </c>
      <c r="P188" s="28">
        <v>38.11</v>
      </c>
      <c r="Q188" s="29">
        <v>45069</v>
      </c>
      <c r="R188" s="29">
        <v>45075</v>
      </c>
      <c r="S188" s="26" t="s">
        <v>76</v>
      </c>
      <c r="T188" s="26" t="s">
        <v>56</v>
      </c>
      <c r="U188" s="26" t="s">
        <v>77</v>
      </c>
      <c r="V188" s="26" t="s">
        <v>109</v>
      </c>
    </row>
    <row r="189" spans="1:22" ht="18" customHeight="1" x14ac:dyDescent="0.3">
      <c r="A189" s="3" t="s">
        <v>708</v>
      </c>
      <c r="B189" s="3" t="s">
        <v>709</v>
      </c>
      <c r="C189" s="4" t="s">
        <v>710</v>
      </c>
      <c r="D189" s="4" t="s">
        <v>24</v>
      </c>
      <c r="E189" s="4" t="s">
        <v>113</v>
      </c>
      <c r="F189" s="4" t="s">
        <v>73</v>
      </c>
      <c r="G189" s="4" t="s">
        <v>74</v>
      </c>
      <c r="H189" s="4" t="s">
        <v>591</v>
      </c>
      <c r="I189" s="3">
        <v>9</v>
      </c>
      <c r="J189" s="5">
        <v>14411.89</v>
      </c>
      <c r="K189" s="5">
        <v>15</v>
      </c>
      <c r="L189" s="5">
        <v>12250.11</v>
      </c>
      <c r="M189" s="5">
        <v>110250.99</v>
      </c>
      <c r="N189" s="5">
        <v>75647.81</v>
      </c>
      <c r="O189" s="5">
        <v>34603.18</v>
      </c>
      <c r="P189" s="24">
        <v>31.39</v>
      </c>
      <c r="Q189" s="6">
        <v>45083</v>
      </c>
      <c r="R189" s="6">
        <v>45089</v>
      </c>
      <c r="S189" s="4" t="s">
        <v>86</v>
      </c>
      <c r="T189" s="4" t="s">
        <v>56</v>
      </c>
      <c r="U189" s="4" t="s">
        <v>87</v>
      </c>
      <c r="V189" s="4" t="s">
        <v>115</v>
      </c>
    </row>
    <row r="190" spans="1:22" ht="18" customHeight="1" x14ac:dyDescent="0.3">
      <c r="A190" s="25" t="s">
        <v>711</v>
      </c>
      <c r="B190" s="25" t="s">
        <v>712</v>
      </c>
      <c r="C190" s="26" t="s">
        <v>318</v>
      </c>
      <c r="D190" s="26" t="s">
        <v>25</v>
      </c>
      <c r="E190" s="26" t="s">
        <v>107</v>
      </c>
      <c r="F190" s="26" t="s">
        <v>83</v>
      </c>
      <c r="G190" s="26" t="s">
        <v>84</v>
      </c>
      <c r="H190" s="26" t="s">
        <v>339</v>
      </c>
      <c r="I190" s="25">
        <v>2</v>
      </c>
      <c r="J190" s="27">
        <v>46508.43</v>
      </c>
      <c r="K190" s="27">
        <v>25</v>
      </c>
      <c r="L190" s="27">
        <v>34881.32</v>
      </c>
      <c r="M190" s="27">
        <v>69762.64</v>
      </c>
      <c r="N190" s="27">
        <v>44576.86</v>
      </c>
      <c r="O190" s="27">
        <v>25185.78</v>
      </c>
      <c r="P190" s="28">
        <v>36.1</v>
      </c>
      <c r="Q190" s="29">
        <v>45439</v>
      </c>
      <c r="R190" s="29">
        <v>45448</v>
      </c>
      <c r="S190" s="26" t="s">
        <v>55</v>
      </c>
      <c r="T190" s="26" t="s">
        <v>56</v>
      </c>
      <c r="U190" s="26" t="s">
        <v>57</v>
      </c>
      <c r="V190" s="26" t="s">
        <v>120</v>
      </c>
    </row>
    <row r="191" spans="1:22" ht="18" customHeight="1" x14ac:dyDescent="0.3">
      <c r="A191" s="3" t="s">
        <v>713</v>
      </c>
      <c r="B191" s="3" t="s">
        <v>714</v>
      </c>
      <c r="C191" s="4" t="s">
        <v>715</v>
      </c>
      <c r="D191" s="4" t="s">
        <v>9</v>
      </c>
      <c r="E191" s="4" t="s">
        <v>62</v>
      </c>
      <c r="F191" s="4" t="s">
        <v>93</v>
      </c>
      <c r="G191" s="4" t="s">
        <v>94</v>
      </c>
      <c r="H191" s="4" t="s">
        <v>124</v>
      </c>
      <c r="I191" s="3">
        <v>3</v>
      </c>
      <c r="J191" s="5">
        <v>22117.13</v>
      </c>
      <c r="K191" s="5">
        <v>30</v>
      </c>
      <c r="L191" s="5">
        <v>15481.99</v>
      </c>
      <c r="M191" s="5">
        <v>46445.97</v>
      </c>
      <c r="N191" s="5">
        <v>33308.43</v>
      </c>
      <c r="O191" s="5">
        <v>13137.54</v>
      </c>
      <c r="P191" s="24">
        <v>28.29</v>
      </c>
      <c r="Q191" s="6">
        <v>45004</v>
      </c>
      <c r="R191" s="6">
        <v>45011</v>
      </c>
      <c r="S191" s="4" t="s">
        <v>66</v>
      </c>
      <c r="T191" s="4" t="s">
        <v>56</v>
      </c>
      <c r="U191" s="4" t="s">
        <v>67</v>
      </c>
      <c r="V191" s="4" t="s">
        <v>125</v>
      </c>
    </row>
    <row r="192" spans="1:22" ht="18" customHeight="1" x14ac:dyDescent="0.3">
      <c r="A192" s="25" t="s">
        <v>716</v>
      </c>
      <c r="B192" s="25" t="s">
        <v>717</v>
      </c>
      <c r="C192" s="26" t="s">
        <v>718</v>
      </c>
      <c r="D192" s="26" t="s">
        <v>3</v>
      </c>
      <c r="E192" s="26" t="s">
        <v>3</v>
      </c>
      <c r="F192" s="26" t="s">
        <v>52</v>
      </c>
      <c r="G192" s="26" t="s">
        <v>53</v>
      </c>
      <c r="H192" s="26" t="s">
        <v>312</v>
      </c>
      <c r="I192" s="25">
        <v>4</v>
      </c>
      <c r="J192" s="27">
        <v>13109.1</v>
      </c>
      <c r="K192" s="27">
        <v>25</v>
      </c>
      <c r="L192" s="27">
        <v>9831.83</v>
      </c>
      <c r="M192" s="27">
        <v>39327.32</v>
      </c>
      <c r="N192" s="27">
        <v>25395.69</v>
      </c>
      <c r="O192" s="27">
        <v>13931.63</v>
      </c>
      <c r="P192" s="28">
        <v>35.42</v>
      </c>
      <c r="Q192" s="29">
        <v>45365</v>
      </c>
      <c r="R192" s="29">
        <v>45367</v>
      </c>
      <c r="S192" s="26" t="s">
        <v>76</v>
      </c>
      <c r="T192" s="26" t="s">
        <v>56</v>
      </c>
      <c r="U192" s="26" t="s">
        <v>77</v>
      </c>
      <c r="V192" s="26" t="s">
        <v>58</v>
      </c>
    </row>
    <row r="193" spans="1:22" ht="18" customHeight="1" x14ac:dyDescent="0.3">
      <c r="A193" s="3" t="s">
        <v>719</v>
      </c>
      <c r="B193" s="3" t="s">
        <v>720</v>
      </c>
      <c r="C193" s="4" t="s">
        <v>721</v>
      </c>
      <c r="D193" s="4" t="s">
        <v>4</v>
      </c>
      <c r="E193" s="4" t="s">
        <v>62</v>
      </c>
      <c r="F193" s="4" t="s">
        <v>63</v>
      </c>
      <c r="G193" s="4" t="s">
        <v>64</v>
      </c>
      <c r="H193" s="4" t="s">
        <v>207</v>
      </c>
      <c r="I193" s="3">
        <v>2</v>
      </c>
      <c r="J193" s="5">
        <v>33129.449999999997</v>
      </c>
      <c r="K193" s="5">
        <v>15</v>
      </c>
      <c r="L193" s="5">
        <v>28160.03</v>
      </c>
      <c r="M193" s="5">
        <v>56320.06</v>
      </c>
      <c r="N193" s="5">
        <v>34363.79</v>
      </c>
      <c r="O193" s="5">
        <v>21956.27</v>
      </c>
      <c r="P193" s="24">
        <v>38.979999999999997</v>
      </c>
      <c r="Q193" s="6">
        <v>45551</v>
      </c>
      <c r="R193" s="6">
        <v>45553</v>
      </c>
      <c r="S193" s="4" t="s">
        <v>86</v>
      </c>
      <c r="T193" s="4" t="s">
        <v>56</v>
      </c>
      <c r="U193" s="4" t="s">
        <v>87</v>
      </c>
      <c r="V193" s="4" t="s">
        <v>68</v>
      </c>
    </row>
    <row r="194" spans="1:22" ht="18" customHeight="1" x14ac:dyDescent="0.3">
      <c r="A194" s="25" t="s">
        <v>722</v>
      </c>
      <c r="B194" s="25" t="s">
        <v>517</v>
      </c>
      <c r="C194" s="26" t="s">
        <v>723</v>
      </c>
      <c r="D194" s="26" t="s">
        <v>5</v>
      </c>
      <c r="E194" s="26" t="s">
        <v>72</v>
      </c>
      <c r="F194" s="26" t="s">
        <v>73</v>
      </c>
      <c r="G194" s="26" t="s">
        <v>74</v>
      </c>
      <c r="H194" s="26" t="s">
        <v>267</v>
      </c>
      <c r="I194" s="25">
        <v>9</v>
      </c>
      <c r="J194" s="27">
        <v>40818.42</v>
      </c>
      <c r="K194" s="27">
        <v>0</v>
      </c>
      <c r="L194" s="27">
        <v>40818.42</v>
      </c>
      <c r="M194" s="27">
        <v>367365.78</v>
      </c>
      <c r="N194" s="27">
        <v>216810.64</v>
      </c>
      <c r="O194" s="27">
        <v>150555.14000000001</v>
      </c>
      <c r="P194" s="28">
        <v>40.98</v>
      </c>
      <c r="Q194" s="29">
        <v>45332</v>
      </c>
      <c r="R194" s="29">
        <v>45336</v>
      </c>
      <c r="S194" s="26" t="s">
        <v>55</v>
      </c>
      <c r="T194" s="26" t="s">
        <v>56</v>
      </c>
      <c r="U194" s="26" t="s">
        <v>57</v>
      </c>
      <c r="V194" s="26" t="s">
        <v>78</v>
      </c>
    </row>
    <row r="195" spans="1:22" ht="18" customHeight="1" x14ac:dyDescent="0.3">
      <c r="A195" s="3" t="s">
        <v>724</v>
      </c>
      <c r="B195" s="3" t="s">
        <v>725</v>
      </c>
      <c r="C195" s="4" t="s">
        <v>726</v>
      </c>
      <c r="D195" s="4" t="s">
        <v>6</v>
      </c>
      <c r="E195" s="4" t="s">
        <v>82</v>
      </c>
      <c r="F195" s="4" t="s">
        <v>83</v>
      </c>
      <c r="G195" s="4" t="s">
        <v>84</v>
      </c>
      <c r="H195" s="4" t="s">
        <v>141</v>
      </c>
      <c r="I195" s="3">
        <v>6</v>
      </c>
      <c r="J195" s="5">
        <v>10092.39</v>
      </c>
      <c r="K195" s="5">
        <v>20</v>
      </c>
      <c r="L195" s="5">
        <v>8073.91</v>
      </c>
      <c r="M195" s="5">
        <v>48443.46</v>
      </c>
      <c r="N195" s="5">
        <v>32362.53</v>
      </c>
      <c r="O195" s="5">
        <v>16080.93</v>
      </c>
      <c r="P195" s="24">
        <v>33.200000000000003</v>
      </c>
      <c r="Q195" s="6">
        <v>45147</v>
      </c>
      <c r="R195" s="6">
        <v>45151</v>
      </c>
      <c r="S195" s="4" t="s">
        <v>66</v>
      </c>
      <c r="T195" s="4" t="s">
        <v>56</v>
      </c>
      <c r="U195" s="4" t="s">
        <v>67</v>
      </c>
      <c r="V195" s="4" t="s">
        <v>88</v>
      </c>
    </row>
    <row r="196" spans="1:22" ht="18" customHeight="1" x14ac:dyDescent="0.3">
      <c r="A196" s="25" t="s">
        <v>727</v>
      </c>
      <c r="B196" s="25" t="s">
        <v>728</v>
      </c>
      <c r="C196" s="26" t="s">
        <v>729</v>
      </c>
      <c r="D196" s="26" t="s">
        <v>7</v>
      </c>
      <c r="E196" s="26" t="s">
        <v>92</v>
      </c>
      <c r="F196" s="26" t="s">
        <v>93</v>
      </c>
      <c r="G196" s="26" t="s">
        <v>94</v>
      </c>
      <c r="H196" s="26" t="s">
        <v>374</v>
      </c>
      <c r="I196" s="25">
        <v>6</v>
      </c>
      <c r="J196" s="27">
        <v>9804.73</v>
      </c>
      <c r="K196" s="27">
        <v>20</v>
      </c>
      <c r="L196" s="27">
        <v>7843.78</v>
      </c>
      <c r="M196" s="27">
        <v>47062.68</v>
      </c>
      <c r="N196" s="27">
        <v>32652.63</v>
      </c>
      <c r="O196" s="27">
        <v>14410.05</v>
      </c>
      <c r="P196" s="28">
        <v>30.62</v>
      </c>
      <c r="Q196" s="29">
        <v>45028</v>
      </c>
      <c r="R196" s="29">
        <v>45032</v>
      </c>
      <c r="S196" s="26" t="s">
        <v>76</v>
      </c>
      <c r="T196" s="26" t="s">
        <v>102</v>
      </c>
      <c r="U196" s="26" t="s">
        <v>77</v>
      </c>
      <c r="V196" s="26" t="s">
        <v>96</v>
      </c>
    </row>
    <row r="197" spans="1:22" ht="18" customHeight="1" x14ac:dyDescent="0.3">
      <c r="A197" s="3" t="s">
        <v>730</v>
      </c>
      <c r="B197" s="3" t="s">
        <v>731</v>
      </c>
      <c r="C197" s="4" t="s">
        <v>732</v>
      </c>
      <c r="D197" s="4" t="s">
        <v>8</v>
      </c>
      <c r="E197" s="4" t="s">
        <v>100</v>
      </c>
      <c r="F197" s="4" t="s">
        <v>52</v>
      </c>
      <c r="G197" s="4" t="s">
        <v>53</v>
      </c>
      <c r="H197" s="4" t="s">
        <v>464</v>
      </c>
      <c r="I197" s="3">
        <v>10</v>
      </c>
      <c r="J197" s="5">
        <v>45292.160000000003</v>
      </c>
      <c r="K197" s="5">
        <v>20</v>
      </c>
      <c r="L197" s="5">
        <v>36233.730000000003</v>
      </c>
      <c r="M197" s="5">
        <v>362337.3</v>
      </c>
      <c r="N197" s="5">
        <v>201060.27</v>
      </c>
      <c r="O197" s="5">
        <v>161277.03</v>
      </c>
      <c r="P197" s="24">
        <v>44.51</v>
      </c>
      <c r="Q197" s="6">
        <v>45413</v>
      </c>
      <c r="R197" s="6">
        <v>45418</v>
      </c>
      <c r="S197" s="4" t="s">
        <v>86</v>
      </c>
      <c r="T197" s="4" t="s">
        <v>56</v>
      </c>
      <c r="U197" s="4" t="s">
        <v>87</v>
      </c>
      <c r="V197" s="4" t="s">
        <v>103</v>
      </c>
    </row>
    <row r="198" spans="1:22" ht="18" customHeight="1" x14ac:dyDescent="0.3">
      <c r="A198" s="25" t="s">
        <v>733</v>
      </c>
      <c r="B198" s="25" t="s">
        <v>734</v>
      </c>
      <c r="C198" s="26" t="s">
        <v>346</v>
      </c>
      <c r="D198" s="26" t="s">
        <v>23</v>
      </c>
      <c r="E198" s="26" t="s">
        <v>107</v>
      </c>
      <c r="F198" s="26" t="s">
        <v>63</v>
      </c>
      <c r="G198" s="26" t="s">
        <v>64</v>
      </c>
      <c r="H198" s="26" t="s">
        <v>735</v>
      </c>
      <c r="I198" s="25">
        <v>2</v>
      </c>
      <c r="J198" s="27">
        <v>44232.82</v>
      </c>
      <c r="K198" s="27">
        <v>30</v>
      </c>
      <c r="L198" s="27">
        <v>30962.97</v>
      </c>
      <c r="M198" s="27">
        <v>61925.94</v>
      </c>
      <c r="N198" s="27">
        <v>39978.300000000003</v>
      </c>
      <c r="O198" s="27">
        <v>21947.64</v>
      </c>
      <c r="P198" s="28">
        <v>35.44</v>
      </c>
      <c r="Q198" s="29">
        <v>45080</v>
      </c>
      <c r="R198" s="29">
        <v>45083</v>
      </c>
      <c r="S198" s="26" t="s">
        <v>55</v>
      </c>
      <c r="T198" s="26" t="s">
        <v>56</v>
      </c>
      <c r="U198" s="26" t="s">
        <v>57</v>
      </c>
      <c r="V198" s="26" t="s">
        <v>109</v>
      </c>
    </row>
    <row r="199" spans="1:22" ht="18" customHeight="1" x14ac:dyDescent="0.3">
      <c r="A199" s="3" t="s">
        <v>736</v>
      </c>
      <c r="B199" s="3" t="s">
        <v>737</v>
      </c>
      <c r="C199" s="4" t="s">
        <v>559</v>
      </c>
      <c r="D199" s="4" t="s">
        <v>24</v>
      </c>
      <c r="E199" s="4" t="s">
        <v>113</v>
      </c>
      <c r="F199" s="4" t="s">
        <v>73</v>
      </c>
      <c r="G199" s="4" t="s">
        <v>74</v>
      </c>
      <c r="H199" s="4" t="s">
        <v>175</v>
      </c>
      <c r="I199" s="3">
        <v>3</v>
      </c>
      <c r="J199" s="5">
        <v>39054.199999999997</v>
      </c>
      <c r="K199" s="5">
        <v>30</v>
      </c>
      <c r="L199" s="5">
        <v>27337.94</v>
      </c>
      <c r="M199" s="5">
        <v>82013.820000000007</v>
      </c>
      <c r="N199" s="5">
        <v>53766.21</v>
      </c>
      <c r="O199" s="5">
        <v>28247.61</v>
      </c>
      <c r="P199" s="24">
        <v>34.44</v>
      </c>
      <c r="Q199" s="6">
        <v>45006</v>
      </c>
      <c r="R199" s="6">
        <v>45012</v>
      </c>
      <c r="S199" s="4" t="s">
        <v>66</v>
      </c>
      <c r="T199" s="4" t="s">
        <v>56</v>
      </c>
      <c r="U199" s="4" t="s">
        <v>67</v>
      </c>
      <c r="V199" s="4" t="s">
        <v>115</v>
      </c>
    </row>
    <row r="200" spans="1:22" ht="18" customHeight="1" x14ac:dyDescent="0.3">
      <c r="A200" s="25" t="s">
        <v>738</v>
      </c>
      <c r="B200" s="25" t="s">
        <v>739</v>
      </c>
      <c r="C200" s="26" t="s">
        <v>740</v>
      </c>
      <c r="D200" s="26" t="s">
        <v>25</v>
      </c>
      <c r="E200" s="26" t="s">
        <v>107</v>
      </c>
      <c r="F200" s="26" t="s">
        <v>83</v>
      </c>
      <c r="G200" s="26" t="s">
        <v>84</v>
      </c>
      <c r="H200" s="26" t="s">
        <v>179</v>
      </c>
      <c r="I200" s="25">
        <v>2</v>
      </c>
      <c r="J200" s="27">
        <v>11385.64</v>
      </c>
      <c r="K200" s="27">
        <v>10</v>
      </c>
      <c r="L200" s="27">
        <v>10247.08</v>
      </c>
      <c r="M200" s="27">
        <v>20494.16</v>
      </c>
      <c r="N200" s="27">
        <v>10817.89</v>
      </c>
      <c r="O200" s="27">
        <v>9676.27</v>
      </c>
      <c r="P200" s="28">
        <v>47.21</v>
      </c>
      <c r="Q200" s="29">
        <v>45521</v>
      </c>
      <c r="R200" s="29">
        <v>45529</v>
      </c>
      <c r="S200" s="26" t="s">
        <v>76</v>
      </c>
      <c r="T200" s="26" t="s">
        <v>56</v>
      </c>
      <c r="U200" s="26" t="s">
        <v>77</v>
      </c>
      <c r="V200" s="26" t="s">
        <v>120</v>
      </c>
    </row>
    <row r="201" spans="1:22" ht="18" customHeight="1" x14ac:dyDescent="0.3">
      <c r="A201" s="3" t="s">
        <v>741</v>
      </c>
      <c r="B201" s="3" t="s">
        <v>742</v>
      </c>
      <c r="C201" s="4" t="s">
        <v>743</v>
      </c>
      <c r="D201" s="4" t="s">
        <v>9</v>
      </c>
      <c r="E201" s="4" t="s">
        <v>62</v>
      </c>
      <c r="F201" s="4" t="s">
        <v>93</v>
      </c>
      <c r="G201" s="4" t="s">
        <v>94</v>
      </c>
      <c r="H201" s="4" t="s">
        <v>699</v>
      </c>
      <c r="I201" s="3">
        <v>3</v>
      </c>
      <c r="J201" s="5">
        <v>30487.15</v>
      </c>
      <c r="K201" s="5">
        <v>25</v>
      </c>
      <c r="L201" s="5">
        <v>22865.360000000001</v>
      </c>
      <c r="M201" s="5">
        <v>68596.08</v>
      </c>
      <c r="N201" s="5">
        <v>46594.68</v>
      </c>
      <c r="O201" s="5">
        <v>22001.4</v>
      </c>
      <c r="P201" s="24">
        <v>32.07</v>
      </c>
      <c r="Q201" s="6">
        <v>45575</v>
      </c>
      <c r="R201" s="6">
        <v>45577</v>
      </c>
      <c r="S201" s="4" t="s">
        <v>86</v>
      </c>
      <c r="T201" s="4" t="s">
        <v>56</v>
      </c>
      <c r="U201" s="4" t="s">
        <v>87</v>
      </c>
      <c r="V201" s="4" t="s">
        <v>125</v>
      </c>
    </row>
    <row r="202" spans="1:22" ht="18" customHeight="1" x14ac:dyDescent="0.3">
      <c r="A202" s="25" t="s">
        <v>744</v>
      </c>
      <c r="B202" s="25" t="s">
        <v>745</v>
      </c>
      <c r="C202" s="26" t="s">
        <v>746</v>
      </c>
      <c r="D202" s="26" t="s">
        <v>3</v>
      </c>
      <c r="E202" s="26" t="s">
        <v>3</v>
      </c>
      <c r="F202" s="26" t="s">
        <v>52</v>
      </c>
      <c r="G202" s="26" t="s">
        <v>53</v>
      </c>
      <c r="H202" s="26" t="s">
        <v>528</v>
      </c>
      <c r="I202" s="25">
        <v>2</v>
      </c>
      <c r="J202" s="27">
        <v>22232.53</v>
      </c>
      <c r="K202" s="27">
        <v>25</v>
      </c>
      <c r="L202" s="27">
        <v>16674.400000000001</v>
      </c>
      <c r="M202" s="27">
        <v>33348.800000000003</v>
      </c>
      <c r="N202" s="27">
        <v>22065.21</v>
      </c>
      <c r="O202" s="27">
        <v>11283.59</v>
      </c>
      <c r="P202" s="28">
        <v>33.840000000000003</v>
      </c>
      <c r="Q202" s="29">
        <v>44955</v>
      </c>
      <c r="R202" s="29">
        <v>44964</v>
      </c>
      <c r="S202" s="26" t="s">
        <v>55</v>
      </c>
      <c r="T202" s="26" t="s">
        <v>56</v>
      </c>
      <c r="U202" s="26" t="s">
        <v>57</v>
      </c>
      <c r="V202" s="26" t="s">
        <v>58</v>
      </c>
    </row>
    <row r="203" spans="1:22" ht="18" customHeight="1" x14ac:dyDescent="0.3">
      <c r="A203" s="3" t="s">
        <v>747</v>
      </c>
      <c r="B203" s="3" t="s">
        <v>748</v>
      </c>
      <c r="C203" s="4" t="s">
        <v>749</v>
      </c>
      <c r="D203" s="4" t="s">
        <v>4</v>
      </c>
      <c r="E203" s="4" t="s">
        <v>62</v>
      </c>
      <c r="F203" s="4" t="s">
        <v>63</v>
      </c>
      <c r="G203" s="4" t="s">
        <v>64</v>
      </c>
      <c r="H203" s="4" t="s">
        <v>735</v>
      </c>
      <c r="I203" s="3">
        <v>10</v>
      </c>
      <c r="J203" s="5">
        <v>27897.33</v>
      </c>
      <c r="K203" s="5">
        <v>15</v>
      </c>
      <c r="L203" s="5">
        <v>23712.73</v>
      </c>
      <c r="M203" s="5">
        <v>237127.3</v>
      </c>
      <c r="N203" s="5">
        <v>123571.79</v>
      </c>
      <c r="O203" s="5">
        <v>113555.51</v>
      </c>
      <c r="P203" s="24">
        <v>47.89</v>
      </c>
      <c r="Q203" s="6">
        <v>45579</v>
      </c>
      <c r="R203" s="6">
        <v>45583</v>
      </c>
      <c r="S203" s="4" t="s">
        <v>66</v>
      </c>
      <c r="T203" s="4" t="s">
        <v>235</v>
      </c>
      <c r="U203" s="4" t="s">
        <v>67</v>
      </c>
      <c r="V203" s="4" t="s">
        <v>68</v>
      </c>
    </row>
    <row r="204" spans="1:22" ht="18" customHeight="1" x14ac:dyDescent="0.3">
      <c r="A204" s="25" t="s">
        <v>750</v>
      </c>
      <c r="B204" s="25" t="s">
        <v>751</v>
      </c>
      <c r="C204" s="26" t="s">
        <v>752</v>
      </c>
      <c r="D204" s="26" t="s">
        <v>5</v>
      </c>
      <c r="E204" s="26" t="s">
        <v>72</v>
      </c>
      <c r="F204" s="26" t="s">
        <v>73</v>
      </c>
      <c r="G204" s="26" t="s">
        <v>74</v>
      </c>
      <c r="H204" s="26" t="s">
        <v>175</v>
      </c>
      <c r="I204" s="25">
        <v>9</v>
      </c>
      <c r="J204" s="27">
        <v>19801.79</v>
      </c>
      <c r="K204" s="27">
        <v>5</v>
      </c>
      <c r="L204" s="27">
        <v>18811.7</v>
      </c>
      <c r="M204" s="27">
        <v>169305.3</v>
      </c>
      <c r="N204" s="27">
        <v>109670.18</v>
      </c>
      <c r="O204" s="27">
        <v>59635.12</v>
      </c>
      <c r="P204" s="28">
        <v>35.22</v>
      </c>
      <c r="Q204" s="29">
        <v>45054</v>
      </c>
      <c r="R204" s="29">
        <v>45063</v>
      </c>
      <c r="S204" s="26" t="s">
        <v>76</v>
      </c>
      <c r="T204" s="26" t="s">
        <v>56</v>
      </c>
      <c r="U204" s="26" t="s">
        <v>77</v>
      </c>
      <c r="V204" s="26" t="s">
        <v>78</v>
      </c>
    </row>
    <row r="205" spans="1:22" ht="18" customHeight="1" x14ac:dyDescent="0.3">
      <c r="A205" s="3" t="s">
        <v>753</v>
      </c>
      <c r="B205" s="3" t="s">
        <v>754</v>
      </c>
      <c r="C205" s="4" t="s">
        <v>755</v>
      </c>
      <c r="D205" s="4" t="s">
        <v>6</v>
      </c>
      <c r="E205" s="4" t="s">
        <v>82</v>
      </c>
      <c r="F205" s="4" t="s">
        <v>83</v>
      </c>
      <c r="G205" s="4" t="s">
        <v>84</v>
      </c>
      <c r="H205" s="4" t="s">
        <v>234</v>
      </c>
      <c r="I205" s="3">
        <v>6</v>
      </c>
      <c r="J205" s="5">
        <v>13472.71</v>
      </c>
      <c r="K205" s="5">
        <v>0</v>
      </c>
      <c r="L205" s="5">
        <v>13472.71</v>
      </c>
      <c r="M205" s="5">
        <v>80836.259999999995</v>
      </c>
      <c r="N205" s="5">
        <v>50306.080000000002</v>
      </c>
      <c r="O205" s="5">
        <v>30530.18</v>
      </c>
      <c r="P205" s="24">
        <v>37.770000000000003</v>
      </c>
      <c r="Q205" s="6">
        <v>45028</v>
      </c>
      <c r="R205" s="6">
        <v>45038</v>
      </c>
      <c r="S205" s="4" t="s">
        <v>86</v>
      </c>
      <c r="T205" s="4" t="s">
        <v>56</v>
      </c>
      <c r="U205" s="4" t="s">
        <v>87</v>
      </c>
      <c r="V205" s="4" t="s">
        <v>88</v>
      </c>
    </row>
    <row r="206" spans="1:22" ht="18" customHeight="1" x14ac:dyDescent="0.3">
      <c r="A206" s="25" t="s">
        <v>756</v>
      </c>
      <c r="B206" s="25" t="s">
        <v>757</v>
      </c>
      <c r="C206" s="26" t="s">
        <v>325</v>
      </c>
      <c r="D206" s="26" t="s">
        <v>7</v>
      </c>
      <c r="E206" s="26" t="s">
        <v>92</v>
      </c>
      <c r="F206" s="26" t="s">
        <v>93</v>
      </c>
      <c r="G206" s="26" t="s">
        <v>94</v>
      </c>
      <c r="H206" s="26" t="s">
        <v>183</v>
      </c>
      <c r="I206" s="25">
        <v>5</v>
      </c>
      <c r="J206" s="27">
        <v>13701.82</v>
      </c>
      <c r="K206" s="27">
        <v>20</v>
      </c>
      <c r="L206" s="27">
        <v>10961.46</v>
      </c>
      <c r="M206" s="27">
        <v>54807.3</v>
      </c>
      <c r="N206" s="27">
        <v>32310.67</v>
      </c>
      <c r="O206" s="27">
        <v>22496.63</v>
      </c>
      <c r="P206" s="28">
        <v>41.05</v>
      </c>
      <c r="Q206" s="29">
        <v>44983</v>
      </c>
      <c r="R206" s="29">
        <v>44985</v>
      </c>
      <c r="S206" s="26" t="s">
        <v>55</v>
      </c>
      <c r="T206" s="26" t="s">
        <v>56</v>
      </c>
      <c r="U206" s="26" t="s">
        <v>57</v>
      </c>
      <c r="V206" s="26" t="s">
        <v>96</v>
      </c>
    </row>
    <row r="207" spans="1:22" ht="18" customHeight="1" x14ac:dyDescent="0.3">
      <c r="A207" s="3" t="s">
        <v>758</v>
      </c>
      <c r="B207" s="3" t="s">
        <v>759</v>
      </c>
      <c r="C207" s="4" t="s">
        <v>760</v>
      </c>
      <c r="D207" s="4" t="s">
        <v>8</v>
      </c>
      <c r="E207" s="4" t="s">
        <v>100</v>
      </c>
      <c r="F207" s="4" t="s">
        <v>52</v>
      </c>
      <c r="G207" s="4" t="s">
        <v>53</v>
      </c>
      <c r="H207" s="4" t="s">
        <v>101</v>
      </c>
      <c r="I207" s="3">
        <v>1</v>
      </c>
      <c r="J207" s="5">
        <v>14870.9</v>
      </c>
      <c r="K207" s="5">
        <v>15</v>
      </c>
      <c r="L207" s="5">
        <v>12640.26</v>
      </c>
      <c r="M207" s="5">
        <v>12640.26</v>
      </c>
      <c r="N207" s="5">
        <v>5934.6</v>
      </c>
      <c r="O207" s="5">
        <v>6705.66</v>
      </c>
      <c r="P207" s="24">
        <v>53.05</v>
      </c>
      <c r="Q207" s="6">
        <v>45529</v>
      </c>
      <c r="R207" s="6">
        <v>45530</v>
      </c>
      <c r="S207" s="4" t="s">
        <v>66</v>
      </c>
      <c r="T207" s="4" t="s">
        <v>56</v>
      </c>
      <c r="U207" s="4" t="s">
        <v>67</v>
      </c>
      <c r="V207" s="4" t="s">
        <v>103</v>
      </c>
    </row>
    <row r="208" spans="1:22" ht="18" customHeight="1" x14ac:dyDescent="0.3">
      <c r="A208" s="25" t="s">
        <v>761</v>
      </c>
      <c r="B208" s="25" t="s">
        <v>762</v>
      </c>
      <c r="C208" s="26" t="s">
        <v>763</v>
      </c>
      <c r="D208" s="26" t="s">
        <v>23</v>
      </c>
      <c r="E208" s="26" t="s">
        <v>107</v>
      </c>
      <c r="F208" s="26" t="s">
        <v>63</v>
      </c>
      <c r="G208" s="26" t="s">
        <v>64</v>
      </c>
      <c r="H208" s="26" t="s">
        <v>451</v>
      </c>
      <c r="I208" s="25">
        <v>7</v>
      </c>
      <c r="J208" s="27">
        <v>20925.080000000002</v>
      </c>
      <c r="K208" s="27">
        <v>15</v>
      </c>
      <c r="L208" s="27">
        <v>17786.32</v>
      </c>
      <c r="M208" s="27">
        <v>124504.24</v>
      </c>
      <c r="N208" s="27">
        <v>85535.35</v>
      </c>
      <c r="O208" s="27">
        <v>38968.89</v>
      </c>
      <c r="P208" s="28">
        <v>31.3</v>
      </c>
      <c r="Q208" s="29">
        <v>45384</v>
      </c>
      <c r="R208" s="29">
        <v>45388</v>
      </c>
      <c r="S208" s="26" t="s">
        <v>76</v>
      </c>
      <c r="T208" s="26" t="s">
        <v>235</v>
      </c>
      <c r="U208" s="26" t="s">
        <v>77</v>
      </c>
      <c r="V208" s="26" t="s">
        <v>109</v>
      </c>
    </row>
    <row r="209" spans="1:22" ht="18" customHeight="1" x14ac:dyDescent="0.3">
      <c r="A209" s="3" t="s">
        <v>764</v>
      </c>
      <c r="B209" s="3" t="s">
        <v>765</v>
      </c>
      <c r="C209" s="4" t="s">
        <v>766</v>
      </c>
      <c r="D209" s="4" t="s">
        <v>24</v>
      </c>
      <c r="E209" s="4" t="s">
        <v>113</v>
      </c>
      <c r="F209" s="4" t="s">
        <v>73</v>
      </c>
      <c r="G209" s="4" t="s">
        <v>74</v>
      </c>
      <c r="H209" s="4" t="s">
        <v>386</v>
      </c>
      <c r="I209" s="3">
        <v>5</v>
      </c>
      <c r="J209" s="5">
        <v>26424.71</v>
      </c>
      <c r="K209" s="5">
        <v>10</v>
      </c>
      <c r="L209" s="5">
        <v>23782.240000000002</v>
      </c>
      <c r="M209" s="5">
        <v>118911.2</v>
      </c>
      <c r="N209" s="5">
        <v>88380.95</v>
      </c>
      <c r="O209" s="5">
        <v>30530.25</v>
      </c>
      <c r="P209" s="24">
        <v>25.67</v>
      </c>
      <c r="Q209" s="6">
        <v>45229</v>
      </c>
      <c r="R209" s="6">
        <v>45231</v>
      </c>
      <c r="S209" s="4" t="s">
        <v>86</v>
      </c>
      <c r="T209" s="4" t="s">
        <v>56</v>
      </c>
      <c r="U209" s="4" t="s">
        <v>87</v>
      </c>
      <c r="V209" s="4" t="s">
        <v>115</v>
      </c>
    </row>
    <row r="210" spans="1:22" ht="18" customHeight="1" x14ac:dyDescent="0.3">
      <c r="A210" s="25" t="s">
        <v>767</v>
      </c>
      <c r="B210" s="25" t="s">
        <v>768</v>
      </c>
      <c r="C210" s="26" t="s">
        <v>769</v>
      </c>
      <c r="D210" s="26" t="s">
        <v>25</v>
      </c>
      <c r="E210" s="26" t="s">
        <v>107</v>
      </c>
      <c r="F210" s="26" t="s">
        <v>83</v>
      </c>
      <c r="G210" s="26" t="s">
        <v>84</v>
      </c>
      <c r="H210" s="26" t="s">
        <v>215</v>
      </c>
      <c r="I210" s="25">
        <v>7</v>
      </c>
      <c r="J210" s="27">
        <v>26331.13</v>
      </c>
      <c r="K210" s="27">
        <v>25</v>
      </c>
      <c r="L210" s="27">
        <v>19748.349999999999</v>
      </c>
      <c r="M210" s="27">
        <v>138238.45000000001</v>
      </c>
      <c r="N210" s="27">
        <v>69577.289999999994</v>
      </c>
      <c r="O210" s="27">
        <v>68661.16</v>
      </c>
      <c r="P210" s="28">
        <v>49.67</v>
      </c>
      <c r="Q210" s="29">
        <v>45430</v>
      </c>
      <c r="R210" s="29">
        <v>45436</v>
      </c>
      <c r="S210" s="26" t="s">
        <v>55</v>
      </c>
      <c r="T210" s="26" t="s">
        <v>56</v>
      </c>
      <c r="U210" s="26" t="s">
        <v>57</v>
      </c>
      <c r="V210" s="26" t="s">
        <v>120</v>
      </c>
    </row>
    <row r="211" spans="1:22" ht="18" customHeight="1" x14ac:dyDescent="0.3">
      <c r="A211" s="3" t="s">
        <v>770</v>
      </c>
      <c r="B211" s="3" t="s">
        <v>771</v>
      </c>
      <c r="C211" s="4" t="s">
        <v>772</v>
      </c>
      <c r="D211" s="4" t="s">
        <v>9</v>
      </c>
      <c r="E211" s="4" t="s">
        <v>62</v>
      </c>
      <c r="F211" s="4" t="s">
        <v>93</v>
      </c>
      <c r="G211" s="4" t="s">
        <v>94</v>
      </c>
      <c r="H211" s="4" t="s">
        <v>374</v>
      </c>
      <c r="I211" s="3">
        <v>10</v>
      </c>
      <c r="J211" s="5">
        <v>16846.330000000002</v>
      </c>
      <c r="K211" s="5">
        <v>10</v>
      </c>
      <c r="L211" s="5">
        <v>15161.7</v>
      </c>
      <c r="M211" s="5">
        <v>151617</v>
      </c>
      <c r="N211" s="5">
        <v>79223.62</v>
      </c>
      <c r="O211" s="5">
        <v>72393.38</v>
      </c>
      <c r="P211" s="24">
        <v>47.75</v>
      </c>
      <c r="Q211" s="6">
        <v>45436</v>
      </c>
      <c r="R211" s="6">
        <v>45442</v>
      </c>
      <c r="S211" s="4" t="s">
        <v>66</v>
      </c>
      <c r="T211" s="4" t="s">
        <v>56</v>
      </c>
      <c r="U211" s="4" t="s">
        <v>67</v>
      </c>
      <c r="V211" s="4" t="s">
        <v>125</v>
      </c>
    </row>
    <row r="212" spans="1:22" ht="18" customHeight="1" x14ac:dyDescent="0.3">
      <c r="A212" s="25" t="s">
        <v>773</v>
      </c>
      <c r="B212" s="25" t="s">
        <v>774</v>
      </c>
      <c r="C212" s="26" t="s">
        <v>99</v>
      </c>
      <c r="D212" s="26" t="s">
        <v>3</v>
      </c>
      <c r="E212" s="26" t="s">
        <v>3</v>
      </c>
      <c r="F212" s="26" t="s">
        <v>52</v>
      </c>
      <c r="G212" s="26" t="s">
        <v>53</v>
      </c>
      <c r="H212" s="26" t="s">
        <v>312</v>
      </c>
      <c r="I212" s="25">
        <v>8</v>
      </c>
      <c r="J212" s="27">
        <v>40158.46</v>
      </c>
      <c r="K212" s="27">
        <v>10</v>
      </c>
      <c r="L212" s="27">
        <v>36142.61</v>
      </c>
      <c r="M212" s="27">
        <v>289140.88</v>
      </c>
      <c r="N212" s="27">
        <v>167378.79</v>
      </c>
      <c r="O212" s="27">
        <v>121762.09</v>
      </c>
      <c r="P212" s="28">
        <v>42.11</v>
      </c>
      <c r="Q212" s="29">
        <v>45567</v>
      </c>
      <c r="R212" s="29">
        <v>45572</v>
      </c>
      <c r="S212" s="26" t="s">
        <v>76</v>
      </c>
      <c r="T212" s="26" t="s">
        <v>102</v>
      </c>
      <c r="U212" s="26" t="s">
        <v>77</v>
      </c>
      <c r="V212" s="26" t="s">
        <v>58</v>
      </c>
    </row>
    <row r="213" spans="1:22" ht="18" customHeight="1" x14ac:dyDescent="0.3">
      <c r="A213" s="3" t="s">
        <v>775</v>
      </c>
      <c r="B213" s="3" t="s">
        <v>776</v>
      </c>
      <c r="C213" s="4" t="s">
        <v>777</v>
      </c>
      <c r="D213" s="4" t="s">
        <v>4</v>
      </c>
      <c r="E213" s="4" t="s">
        <v>62</v>
      </c>
      <c r="F213" s="4" t="s">
        <v>63</v>
      </c>
      <c r="G213" s="4" t="s">
        <v>64</v>
      </c>
      <c r="H213" s="4" t="s">
        <v>451</v>
      </c>
      <c r="I213" s="3">
        <v>5</v>
      </c>
      <c r="J213" s="5">
        <v>17214.61</v>
      </c>
      <c r="K213" s="5">
        <v>0</v>
      </c>
      <c r="L213" s="5">
        <v>17214.61</v>
      </c>
      <c r="M213" s="5">
        <v>86073.05</v>
      </c>
      <c r="N213" s="5">
        <v>62889.760000000002</v>
      </c>
      <c r="O213" s="5">
        <v>23183.29</v>
      </c>
      <c r="P213" s="24">
        <v>26.93</v>
      </c>
      <c r="Q213" s="6">
        <v>44982</v>
      </c>
      <c r="R213" s="6">
        <v>44991</v>
      </c>
      <c r="S213" s="4" t="s">
        <v>86</v>
      </c>
      <c r="T213" s="4" t="s">
        <v>56</v>
      </c>
      <c r="U213" s="4" t="s">
        <v>87</v>
      </c>
      <c r="V213" s="4" t="s">
        <v>68</v>
      </c>
    </row>
    <row r="214" spans="1:22" ht="18" customHeight="1" x14ac:dyDescent="0.3">
      <c r="A214" s="25" t="s">
        <v>778</v>
      </c>
      <c r="B214" s="25" t="s">
        <v>779</v>
      </c>
      <c r="C214" s="26" t="s">
        <v>780</v>
      </c>
      <c r="D214" s="26" t="s">
        <v>5</v>
      </c>
      <c r="E214" s="26" t="s">
        <v>72</v>
      </c>
      <c r="F214" s="26" t="s">
        <v>73</v>
      </c>
      <c r="G214" s="26" t="s">
        <v>74</v>
      </c>
      <c r="H214" s="26" t="s">
        <v>781</v>
      </c>
      <c r="I214" s="25">
        <v>1</v>
      </c>
      <c r="J214" s="27">
        <v>24445.53</v>
      </c>
      <c r="K214" s="27">
        <v>30</v>
      </c>
      <c r="L214" s="27">
        <v>17111.87</v>
      </c>
      <c r="M214" s="27">
        <v>17111.87</v>
      </c>
      <c r="N214" s="27">
        <v>9323.01</v>
      </c>
      <c r="O214" s="27">
        <v>7788.86</v>
      </c>
      <c r="P214" s="28">
        <v>45.52</v>
      </c>
      <c r="Q214" s="29">
        <v>45582</v>
      </c>
      <c r="R214" s="29">
        <v>45583</v>
      </c>
      <c r="S214" s="26" t="s">
        <v>55</v>
      </c>
      <c r="T214" s="26" t="s">
        <v>56</v>
      </c>
      <c r="U214" s="26" t="s">
        <v>57</v>
      </c>
      <c r="V214" s="26" t="s">
        <v>78</v>
      </c>
    </row>
    <row r="215" spans="1:22" ht="18" customHeight="1" x14ac:dyDescent="0.3">
      <c r="A215" s="3" t="s">
        <v>782</v>
      </c>
      <c r="B215" s="3" t="s">
        <v>783</v>
      </c>
      <c r="C215" s="4" t="s">
        <v>784</v>
      </c>
      <c r="D215" s="4" t="s">
        <v>6</v>
      </c>
      <c r="E215" s="4" t="s">
        <v>82</v>
      </c>
      <c r="F215" s="4" t="s">
        <v>83</v>
      </c>
      <c r="G215" s="4" t="s">
        <v>84</v>
      </c>
      <c r="H215" s="4" t="s">
        <v>339</v>
      </c>
      <c r="I215" s="3">
        <v>3</v>
      </c>
      <c r="J215" s="5">
        <v>43776.12</v>
      </c>
      <c r="K215" s="5">
        <v>20</v>
      </c>
      <c r="L215" s="5">
        <v>35020.9</v>
      </c>
      <c r="M215" s="5">
        <v>105062.7</v>
      </c>
      <c r="N215" s="5">
        <v>56351.28</v>
      </c>
      <c r="O215" s="5">
        <v>48711.42</v>
      </c>
      <c r="P215" s="24">
        <v>46.36</v>
      </c>
      <c r="Q215" s="6">
        <v>45022</v>
      </c>
      <c r="R215" s="6">
        <v>45027</v>
      </c>
      <c r="S215" s="4" t="s">
        <v>66</v>
      </c>
      <c r="T215" s="4" t="s">
        <v>56</v>
      </c>
      <c r="U215" s="4" t="s">
        <v>67</v>
      </c>
      <c r="V215" s="4" t="s">
        <v>88</v>
      </c>
    </row>
    <row r="216" spans="1:22" ht="18" customHeight="1" x14ac:dyDescent="0.3">
      <c r="A216" s="25" t="s">
        <v>785</v>
      </c>
      <c r="B216" s="25" t="s">
        <v>786</v>
      </c>
      <c r="C216" s="26" t="s">
        <v>787</v>
      </c>
      <c r="D216" s="26" t="s">
        <v>7</v>
      </c>
      <c r="E216" s="26" t="s">
        <v>92</v>
      </c>
      <c r="F216" s="26" t="s">
        <v>93</v>
      </c>
      <c r="G216" s="26" t="s">
        <v>94</v>
      </c>
      <c r="H216" s="26" t="s">
        <v>183</v>
      </c>
      <c r="I216" s="25">
        <v>8</v>
      </c>
      <c r="J216" s="27">
        <v>43775.040000000001</v>
      </c>
      <c r="K216" s="27">
        <v>10</v>
      </c>
      <c r="L216" s="27">
        <v>39397.54</v>
      </c>
      <c r="M216" s="27">
        <v>315180.32</v>
      </c>
      <c r="N216" s="27">
        <v>223083.56</v>
      </c>
      <c r="O216" s="27">
        <v>92096.76</v>
      </c>
      <c r="P216" s="28">
        <v>29.22</v>
      </c>
      <c r="Q216" s="29">
        <v>45580</v>
      </c>
      <c r="R216" s="29">
        <v>45586</v>
      </c>
      <c r="S216" s="26" t="s">
        <v>76</v>
      </c>
      <c r="T216" s="26" t="s">
        <v>102</v>
      </c>
      <c r="U216" s="26" t="s">
        <v>77</v>
      </c>
      <c r="V216" s="26" t="s">
        <v>96</v>
      </c>
    </row>
    <row r="217" spans="1:22" ht="18" customHeight="1" x14ac:dyDescent="0.3">
      <c r="A217" s="3" t="s">
        <v>788</v>
      </c>
      <c r="B217" s="3" t="s">
        <v>789</v>
      </c>
      <c r="C217" s="4" t="s">
        <v>740</v>
      </c>
      <c r="D217" s="4" t="s">
        <v>8</v>
      </c>
      <c r="E217" s="4" t="s">
        <v>100</v>
      </c>
      <c r="F217" s="4" t="s">
        <v>52</v>
      </c>
      <c r="G217" s="4" t="s">
        <v>53</v>
      </c>
      <c r="H217" s="4" t="s">
        <v>378</v>
      </c>
      <c r="I217" s="3">
        <v>7</v>
      </c>
      <c r="J217" s="5">
        <v>25537.55</v>
      </c>
      <c r="K217" s="5">
        <v>30</v>
      </c>
      <c r="L217" s="5">
        <v>17876.28</v>
      </c>
      <c r="M217" s="5">
        <v>125133.96</v>
      </c>
      <c r="N217" s="5">
        <v>61021.04</v>
      </c>
      <c r="O217" s="5">
        <v>64112.92</v>
      </c>
      <c r="P217" s="24">
        <v>51.24</v>
      </c>
      <c r="Q217" s="6">
        <v>45596</v>
      </c>
      <c r="R217" s="6">
        <v>45597</v>
      </c>
      <c r="S217" s="4" t="s">
        <v>86</v>
      </c>
      <c r="T217" s="4" t="s">
        <v>56</v>
      </c>
      <c r="U217" s="4" t="s">
        <v>87</v>
      </c>
      <c r="V217" s="4" t="s">
        <v>103</v>
      </c>
    </row>
    <row r="218" spans="1:22" ht="18" customHeight="1" x14ac:dyDescent="0.3">
      <c r="A218" s="25" t="s">
        <v>790</v>
      </c>
      <c r="B218" s="25" t="s">
        <v>791</v>
      </c>
      <c r="C218" s="26" t="s">
        <v>792</v>
      </c>
      <c r="D218" s="26" t="s">
        <v>23</v>
      </c>
      <c r="E218" s="26" t="s">
        <v>107</v>
      </c>
      <c r="F218" s="26" t="s">
        <v>63</v>
      </c>
      <c r="G218" s="26" t="s">
        <v>64</v>
      </c>
      <c r="H218" s="26" t="s">
        <v>226</v>
      </c>
      <c r="I218" s="25">
        <v>8</v>
      </c>
      <c r="J218" s="27">
        <v>44150.39</v>
      </c>
      <c r="K218" s="27">
        <v>30</v>
      </c>
      <c r="L218" s="27">
        <v>30905.27</v>
      </c>
      <c r="M218" s="27">
        <v>247242.16</v>
      </c>
      <c r="N218" s="27">
        <v>129282.93</v>
      </c>
      <c r="O218" s="27">
        <v>117959.23</v>
      </c>
      <c r="P218" s="28">
        <v>47.71</v>
      </c>
      <c r="Q218" s="29">
        <v>44945</v>
      </c>
      <c r="R218" s="29">
        <v>44946</v>
      </c>
      <c r="S218" s="26" t="s">
        <v>55</v>
      </c>
      <c r="T218" s="26" t="s">
        <v>56</v>
      </c>
      <c r="U218" s="26" t="s">
        <v>57</v>
      </c>
      <c r="V218" s="26" t="s">
        <v>109</v>
      </c>
    </row>
    <row r="219" spans="1:22" ht="18" customHeight="1" x14ac:dyDescent="0.3">
      <c r="A219" s="3" t="s">
        <v>793</v>
      </c>
      <c r="B219" s="3" t="s">
        <v>794</v>
      </c>
      <c r="C219" s="4" t="s">
        <v>795</v>
      </c>
      <c r="D219" s="4" t="s">
        <v>24</v>
      </c>
      <c r="E219" s="4" t="s">
        <v>113</v>
      </c>
      <c r="F219" s="4" t="s">
        <v>73</v>
      </c>
      <c r="G219" s="4" t="s">
        <v>74</v>
      </c>
      <c r="H219" s="4" t="s">
        <v>796</v>
      </c>
      <c r="I219" s="3">
        <v>4</v>
      </c>
      <c r="J219" s="5">
        <v>47394.77</v>
      </c>
      <c r="K219" s="5">
        <v>10</v>
      </c>
      <c r="L219" s="5">
        <v>42655.29</v>
      </c>
      <c r="M219" s="5">
        <v>170621.16</v>
      </c>
      <c r="N219" s="5">
        <v>114280.25</v>
      </c>
      <c r="O219" s="5">
        <v>56340.91</v>
      </c>
      <c r="P219" s="24">
        <v>33.020000000000003</v>
      </c>
      <c r="Q219" s="6">
        <v>45410</v>
      </c>
      <c r="R219" s="6">
        <v>45414</v>
      </c>
      <c r="S219" s="4" t="s">
        <v>66</v>
      </c>
      <c r="T219" s="4" t="s">
        <v>56</v>
      </c>
      <c r="U219" s="4" t="s">
        <v>67</v>
      </c>
      <c r="V219" s="4" t="s">
        <v>115</v>
      </c>
    </row>
    <row r="220" spans="1:22" ht="18" customHeight="1" x14ac:dyDescent="0.3">
      <c r="A220" s="25" t="s">
        <v>797</v>
      </c>
      <c r="B220" s="25" t="s">
        <v>798</v>
      </c>
      <c r="C220" s="26" t="s">
        <v>799</v>
      </c>
      <c r="D220" s="26" t="s">
        <v>25</v>
      </c>
      <c r="E220" s="26" t="s">
        <v>107</v>
      </c>
      <c r="F220" s="26" t="s">
        <v>83</v>
      </c>
      <c r="G220" s="26" t="s">
        <v>84</v>
      </c>
      <c r="H220" s="26" t="s">
        <v>287</v>
      </c>
      <c r="I220" s="25">
        <v>5</v>
      </c>
      <c r="J220" s="27">
        <v>34666.76</v>
      </c>
      <c r="K220" s="27">
        <v>10</v>
      </c>
      <c r="L220" s="27">
        <v>31200.080000000002</v>
      </c>
      <c r="M220" s="27">
        <v>156000.4</v>
      </c>
      <c r="N220" s="27">
        <v>106951.12</v>
      </c>
      <c r="O220" s="27">
        <v>49049.279999999999</v>
      </c>
      <c r="P220" s="28">
        <v>31.44</v>
      </c>
      <c r="Q220" s="29">
        <v>45066</v>
      </c>
      <c r="R220" s="29">
        <v>45068</v>
      </c>
      <c r="S220" s="26" t="s">
        <v>76</v>
      </c>
      <c r="T220" s="26" t="s">
        <v>56</v>
      </c>
      <c r="U220" s="26" t="s">
        <v>77</v>
      </c>
      <c r="V220" s="26" t="s">
        <v>120</v>
      </c>
    </row>
    <row r="221" spans="1:22" ht="18" customHeight="1" x14ac:dyDescent="0.3">
      <c r="A221" s="3" t="s">
        <v>800</v>
      </c>
      <c r="B221" s="3" t="s">
        <v>801</v>
      </c>
      <c r="C221" s="4" t="s">
        <v>752</v>
      </c>
      <c r="D221" s="4" t="s">
        <v>9</v>
      </c>
      <c r="E221" s="4" t="s">
        <v>62</v>
      </c>
      <c r="F221" s="4" t="s">
        <v>93</v>
      </c>
      <c r="G221" s="4" t="s">
        <v>94</v>
      </c>
      <c r="H221" s="4" t="s">
        <v>358</v>
      </c>
      <c r="I221" s="3">
        <v>4</v>
      </c>
      <c r="J221" s="5">
        <v>45474.3</v>
      </c>
      <c r="K221" s="5">
        <v>30</v>
      </c>
      <c r="L221" s="5">
        <v>31832.01</v>
      </c>
      <c r="M221" s="5">
        <v>127328.04</v>
      </c>
      <c r="N221" s="5">
        <v>91796.09</v>
      </c>
      <c r="O221" s="5">
        <v>35531.949999999997</v>
      </c>
      <c r="P221" s="24">
        <v>27.91</v>
      </c>
      <c r="Q221" s="6">
        <v>45550</v>
      </c>
      <c r="R221" s="6">
        <v>45551</v>
      </c>
      <c r="S221" s="4" t="s">
        <v>86</v>
      </c>
      <c r="T221" s="4" t="s">
        <v>56</v>
      </c>
      <c r="U221" s="4" t="s">
        <v>87</v>
      </c>
      <c r="V221" s="4" t="s">
        <v>125</v>
      </c>
    </row>
    <row r="222" spans="1:22" ht="18" customHeight="1" x14ac:dyDescent="0.3">
      <c r="A222" s="25" t="s">
        <v>802</v>
      </c>
      <c r="B222" s="25" t="s">
        <v>803</v>
      </c>
      <c r="C222" s="26" t="s">
        <v>804</v>
      </c>
      <c r="D222" s="26" t="s">
        <v>3</v>
      </c>
      <c r="E222" s="26" t="s">
        <v>3</v>
      </c>
      <c r="F222" s="26" t="s">
        <v>52</v>
      </c>
      <c r="G222" s="26" t="s">
        <v>53</v>
      </c>
      <c r="H222" s="26" t="s">
        <v>805</v>
      </c>
      <c r="I222" s="25">
        <v>5</v>
      </c>
      <c r="J222" s="27">
        <v>9354.59</v>
      </c>
      <c r="K222" s="27">
        <v>30</v>
      </c>
      <c r="L222" s="27">
        <v>6548.21</v>
      </c>
      <c r="M222" s="27">
        <v>32741.05</v>
      </c>
      <c r="N222" s="27">
        <v>23146.62</v>
      </c>
      <c r="O222" s="27">
        <v>9594.43</v>
      </c>
      <c r="P222" s="28">
        <v>29.3</v>
      </c>
      <c r="Q222" s="29">
        <v>45296</v>
      </c>
      <c r="R222" s="29">
        <v>45297</v>
      </c>
      <c r="S222" s="26" t="s">
        <v>55</v>
      </c>
      <c r="T222" s="26" t="s">
        <v>56</v>
      </c>
      <c r="U222" s="26" t="s">
        <v>57</v>
      </c>
      <c r="V222" s="26" t="s">
        <v>58</v>
      </c>
    </row>
    <row r="223" spans="1:22" ht="18" customHeight="1" x14ac:dyDescent="0.3">
      <c r="A223" s="3" t="s">
        <v>806</v>
      </c>
      <c r="B223" s="3" t="s">
        <v>807</v>
      </c>
      <c r="C223" s="4" t="s">
        <v>808</v>
      </c>
      <c r="D223" s="4" t="s">
        <v>4</v>
      </c>
      <c r="E223" s="4" t="s">
        <v>62</v>
      </c>
      <c r="F223" s="4" t="s">
        <v>63</v>
      </c>
      <c r="G223" s="4" t="s">
        <v>64</v>
      </c>
      <c r="H223" s="4" t="s">
        <v>632</v>
      </c>
      <c r="I223" s="3">
        <v>7</v>
      </c>
      <c r="J223" s="5">
        <v>12991.71</v>
      </c>
      <c r="K223" s="5">
        <v>20</v>
      </c>
      <c r="L223" s="5">
        <v>10393.370000000001</v>
      </c>
      <c r="M223" s="5">
        <v>72753.59</v>
      </c>
      <c r="N223" s="5">
        <v>48736.3</v>
      </c>
      <c r="O223" s="5">
        <v>24017.29</v>
      </c>
      <c r="P223" s="24">
        <v>33.01</v>
      </c>
      <c r="Q223" s="6">
        <v>45220</v>
      </c>
      <c r="R223" s="6">
        <v>45226</v>
      </c>
      <c r="S223" s="4" t="s">
        <v>66</v>
      </c>
      <c r="T223" s="4" t="s">
        <v>102</v>
      </c>
      <c r="U223" s="4" t="s">
        <v>67</v>
      </c>
      <c r="V223" s="4" t="s">
        <v>68</v>
      </c>
    </row>
    <row r="224" spans="1:22" ht="18" customHeight="1" x14ac:dyDescent="0.3">
      <c r="A224" s="25" t="s">
        <v>809</v>
      </c>
      <c r="B224" s="25" t="s">
        <v>810</v>
      </c>
      <c r="C224" s="26" t="s">
        <v>811</v>
      </c>
      <c r="D224" s="26" t="s">
        <v>5</v>
      </c>
      <c r="E224" s="26" t="s">
        <v>72</v>
      </c>
      <c r="F224" s="26" t="s">
        <v>73</v>
      </c>
      <c r="G224" s="26" t="s">
        <v>74</v>
      </c>
      <c r="H224" s="26" t="s">
        <v>267</v>
      </c>
      <c r="I224" s="25">
        <v>8</v>
      </c>
      <c r="J224" s="27">
        <v>15400.2</v>
      </c>
      <c r="K224" s="27">
        <v>0</v>
      </c>
      <c r="L224" s="27">
        <v>15400.2</v>
      </c>
      <c r="M224" s="27">
        <v>123201.60000000001</v>
      </c>
      <c r="N224" s="27">
        <v>59313.81</v>
      </c>
      <c r="O224" s="27">
        <v>63887.79</v>
      </c>
      <c r="P224" s="28">
        <v>51.86</v>
      </c>
      <c r="Q224" s="29">
        <v>45501</v>
      </c>
      <c r="R224" s="29">
        <v>45508</v>
      </c>
      <c r="S224" s="26" t="s">
        <v>76</v>
      </c>
      <c r="T224" s="26" t="s">
        <v>56</v>
      </c>
      <c r="U224" s="26" t="s">
        <v>77</v>
      </c>
      <c r="V224" s="26" t="s">
        <v>78</v>
      </c>
    </row>
    <row r="225" spans="1:22" ht="18" customHeight="1" x14ac:dyDescent="0.3">
      <c r="A225" s="3" t="s">
        <v>812</v>
      </c>
      <c r="B225" s="3" t="s">
        <v>813</v>
      </c>
      <c r="C225" s="4" t="s">
        <v>814</v>
      </c>
      <c r="D225" s="4" t="s">
        <v>6</v>
      </c>
      <c r="E225" s="4" t="s">
        <v>82</v>
      </c>
      <c r="F225" s="4" t="s">
        <v>83</v>
      </c>
      <c r="G225" s="4" t="s">
        <v>84</v>
      </c>
      <c r="H225" s="4" t="s">
        <v>179</v>
      </c>
      <c r="I225" s="3">
        <v>1</v>
      </c>
      <c r="J225" s="5">
        <v>34688.129999999997</v>
      </c>
      <c r="K225" s="5">
        <v>25</v>
      </c>
      <c r="L225" s="5">
        <v>26016.1</v>
      </c>
      <c r="M225" s="5">
        <v>26016.1</v>
      </c>
      <c r="N225" s="5">
        <v>16289.4</v>
      </c>
      <c r="O225" s="5">
        <v>9726.7000000000007</v>
      </c>
      <c r="P225" s="24">
        <v>37.39</v>
      </c>
      <c r="Q225" s="6">
        <v>45324</v>
      </c>
      <c r="R225" s="6">
        <v>45330</v>
      </c>
      <c r="S225" s="4" t="s">
        <v>86</v>
      </c>
      <c r="T225" s="4" t="s">
        <v>56</v>
      </c>
      <c r="U225" s="4" t="s">
        <v>87</v>
      </c>
      <c r="V225" s="4" t="s">
        <v>88</v>
      </c>
    </row>
    <row r="226" spans="1:22" ht="18" customHeight="1" x14ac:dyDescent="0.3">
      <c r="A226" s="25" t="s">
        <v>815</v>
      </c>
      <c r="B226" s="25" t="s">
        <v>816</v>
      </c>
      <c r="C226" s="26" t="s">
        <v>817</v>
      </c>
      <c r="D226" s="26" t="s">
        <v>7</v>
      </c>
      <c r="E226" s="26" t="s">
        <v>92</v>
      </c>
      <c r="F226" s="26" t="s">
        <v>93</v>
      </c>
      <c r="G226" s="26" t="s">
        <v>94</v>
      </c>
      <c r="H226" s="26" t="s">
        <v>183</v>
      </c>
      <c r="I226" s="25">
        <v>4</v>
      </c>
      <c r="J226" s="27">
        <v>41599.42</v>
      </c>
      <c r="K226" s="27">
        <v>15</v>
      </c>
      <c r="L226" s="27">
        <v>35359.51</v>
      </c>
      <c r="M226" s="27">
        <v>141438.04</v>
      </c>
      <c r="N226" s="27">
        <v>99924.68</v>
      </c>
      <c r="O226" s="27">
        <v>41513.360000000001</v>
      </c>
      <c r="P226" s="28">
        <v>29.35</v>
      </c>
      <c r="Q226" s="29">
        <v>45333</v>
      </c>
      <c r="R226" s="29">
        <v>45338</v>
      </c>
      <c r="S226" s="26" t="s">
        <v>55</v>
      </c>
      <c r="T226" s="26" t="s">
        <v>56</v>
      </c>
      <c r="U226" s="26" t="s">
        <v>57</v>
      </c>
      <c r="V226" s="26" t="s">
        <v>96</v>
      </c>
    </row>
    <row r="227" spans="1:22" ht="18" customHeight="1" x14ac:dyDescent="0.3">
      <c r="A227" s="3" t="s">
        <v>818</v>
      </c>
      <c r="B227" s="3" t="s">
        <v>388</v>
      </c>
      <c r="C227" s="4" t="s">
        <v>819</v>
      </c>
      <c r="D227" s="4" t="s">
        <v>8</v>
      </c>
      <c r="E227" s="4" t="s">
        <v>100</v>
      </c>
      <c r="F227" s="4" t="s">
        <v>52</v>
      </c>
      <c r="G227" s="4" t="s">
        <v>53</v>
      </c>
      <c r="H227" s="4" t="s">
        <v>312</v>
      </c>
      <c r="I227" s="3">
        <v>6</v>
      </c>
      <c r="J227" s="5">
        <v>43757.33</v>
      </c>
      <c r="K227" s="5">
        <v>30</v>
      </c>
      <c r="L227" s="5">
        <v>30630.13</v>
      </c>
      <c r="M227" s="5">
        <v>183780.78</v>
      </c>
      <c r="N227" s="5">
        <v>91679.59</v>
      </c>
      <c r="O227" s="5">
        <v>92101.19</v>
      </c>
      <c r="P227" s="24">
        <v>50.11</v>
      </c>
      <c r="Q227" s="6">
        <v>45229</v>
      </c>
      <c r="R227" s="6">
        <v>45236</v>
      </c>
      <c r="S227" s="4" t="s">
        <v>66</v>
      </c>
      <c r="T227" s="4" t="s">
        <v>56</v>
      </c>
      <c r="U227" s="4" t="s">
        <v>67</v>
      </c>
      <c r="V227" s="4" t="s">
        <v>103</v>
      </c>
    </row>
    <row r="228" spans="1:22" ht="18" customHeight="1" x14ac:dyDescent="0.3">
      <c r="A228" s="25" t="s">
        <v>820</v>
      </c>
      <c r="B228" s="25" t="s">
        <v>821</v>
      </c>
      <c r="C228" s="26" t="s">
        <v>822</v>
      </c>
      <c r="D228" s="26" t="s">
        <v>23</v>
      </c>
      <c r="E228" s="26" t="s">
        <v>107</v>
      </c>
      <c r="F228" s="26" t="s">
        <v>63</v>
      </c>
      <c r="G228" s="26" t="s">
        <v>64</v>
      </c>
      <c r="H228" s="26" t="s">
        <v>823</v>
      </c>
      <c r="I228" s="25">
        <v>7</v>
      </c>
      <c r="J228" s="27">
        <v>35935.47</v>
      </c>
      <c r="K228" s="27">
        <v>5</v>
      </c>
      <c r="L228" s="27">
        <v>34138.699999999997</v>
      </c>
      <c r="M228" s="27">
        <v>238970.9</v>
      </c>
      <c r="N228" s="27">
        <v>136181.73000000001</v>
      </c>
      <c r="O228" s="27">
        <v>102789.17</v>
      </c>
      <c r="P228" s="28">
        <v>43.01</v>
      </c>
      <c r="Q228" s="29">
        <v>45196</v>
      </c>
      <c r="R228" s="29">
        <v>45204</v>
      </c>
      <c r="S228" s="26" t="s">
        <v>76</v>
      </c>
      <c r="T228" s="26" t="s">
        <v>56</v>
      </c>
      <c r="U228" s="26" t="s">
        <v>77</v>
      </c>
      <c r="V228" s="26" t="s">
        <v>109</v>
      </c>
    </row>
    <row r="229" spans="1:22" ht="18" customHeight="1" x14ac:dyDescent="0.3">
      <c r="A229" s="3" t="s">
        <v>824</v>
      </c>
      <c r="B229" s="3" t="s">
        <v>825</v>
      </c>
      <c r="C229" s="4" t="s">
        <v>826</v>
      </c>
      <c r="D229" s="4" t="s">
        <v>24</v>
      </c>
      <c r="E229" s="4" t="s">
        <v>113</v>
      </c>
      <c r="F229" s="4" t="s">
        <v>73</v>
      </c>
      <c r="G229" s="4" t="s">
        <v>74</v>
      </c>
      <c r="H229" s="4" t="s">
        <v>386</v>
      </c>
      <c r="I229" s="3">
        <v>8</v>
      </c>
      <c r="J229" s="5">
        <v>23640.65</v>
      </c>
      <c r="K229" s="5">
        <v>30</v>
      </c>
      <c r="L229" s="5">
        <v>16548.46</v>
      </c>
      <c r="M229" s="5">
        <v>132387.68</v>
      </c>
      <c r="N229" s="5">
        <v>59941.18</v>
      </c>
      <c r="O229" s="5">
        <v>72446.5</v>
      </c>
      <c r="P229" s="24">
        <v>54.72</v>
      </c>
      <c r="Q229" s="6">
        <v>44974</v>
      </c>
      <c r="R229" s="6">
        <v>44981</v>
      </c>
      <c r="S229" s="4" t="s">
        <v>86</v>
      </c>
      <c r="T229" s="4" t="s">
        <v>56</v>
      </c>
      <c r="U229" s="4" t="s">
        <v>87</v>
      </c>
      <c r="V229" s="4" t="s">
        <v>115</v>
      </c>
    </row>
    <row r="230" spans="1:22" ht="18" customHeight="1" x14ac:dyDescent="0.3">
      <c r="A230" s="25" t="s">
        <v>827</v>
      </c>
      <c r="B230" s="25" t="s">
        <v>828</v>
      </c>
      <c r="C230" s="26" t="s">
        <v>599</v>
      </c>
      <c r="D230" s="26" t="s">
        <v>25</v>
      </c>
      <c r="E230" s="26" t="s">
        <v>107</v>
      </c>
      <c r="F230" s="26" t="s">
        <v>83</v>
      </c>
      <c r="G230" s="26" t="s">
        <v>84</v>
      </c>
      <c r="H230" s="26" t="s">
        <v>287</v>
      </c>
      <c r="I230" s="25">
        <v>6</v>
      </c>
      <c r="J230" s="27">
        <v>15644.58</v>
      </c>
      <c r="K230" s="27">
        <v>20</v>
      </c>
      <c r="L230" s="27">
        <v>12515.66</v>
      </c>
      <c r="M230" s="27">
        <v>75093.960000000006</v>
      </c>
      <c r="N230" s="27">
        <v>47328.49</v>
      </c>
      <c r="O230" s="27">
        <v>27765.47</v>
      </c>
      <c r="P230" s="28">
        <v>36.97</v>
      </c>
      <c r="Q230" s="29">
        <v>45042</v>
      </c>
      <c r="R230" s="29">
        <v>45050</v>
      </c>
      <c r="S230" s="26" t="s">
        <v>55</v>
      </c>
      <c r="T230" s="26" t="s">
        <v>56</v>
      </c>
      <c r="U230" s="26" t="s">
        <v>57</v>
      </c>
      <c r="V230" s="26" t="s">
        <v>120</v>
      </c>
    </row>
    <row r="231" spans="1:22" ht="18" customHeight="1" x14ac:dyDescent="0.3">
      <c r="A231" s="3" t="s">
        <v>829</v>
      </c>
      <c r="B231" s="3" t="s">
        <v>830</v>
      </c>
      <c r="C231" s="4" t="s">
        <v>71</v>
      </c>
      <c r="D231" s="4" t="s">
        <v>9</v>
      </c>
      <c r="E231" s="4" t="s">
        <v>62</v>
      </c>
      <c r="F231" s="4" t="s">
        <v>93</v>
      </c>
      <c r="G231" s="4" t="s">
        <v>94</v>
      </c>
      <c r="H231" s="4" t="s">
        <v>699</v>
      </c>
      <c r="I231" s="3">
        <v>4</v>
      </c>
      <c r="J231" s="5">
        <v>14245.51</v>
      </c>
      <c r="K231" s="5">
        <v>15</v>
      </c>
      <c r="L231" s="5">
        <v>12108.68</v>
      </c>
      <c r="M231" s="5">
        <v>48434.720000000001</v>
      </c>
      <c r="N231" s="5">
        <v>25846.35</v>
      </c>
      <c r="O231" s="5">
        <v>22588.37</v>
      </c>
      <c r="P231" s="24">
        <v>46.64</v>
      </c>
      <c r="Q231" s="6">
        <v>45402</v>
      </c>
      <c r="R231" s="6">
        <v>45407</v>
      </c>
      <c r="S231" s="4" t="s">
        <v>66</v>
      </c>
      <c r="T231" s="4" t="s">
        <v>56</v>
      </c>
      <c r="U231" s="4" t="s">
        <v>67</v>
      </c>
      <c r="V231" s="4" t="s">
        <v>125</v>
      </c>
    </row>
    <row r="232" spans="1:22" ht="18" customHeight="1" x14ac:dyDescent="0.3">
      <c r="A232" s="25" t="s">
        <v>831</v>
      </c>
      <c r="B232" s="25" t="s">
        <v>832</v>
      </c>
      <c r="C232" s="26" t="s">
        <v>833</v>
      </c>
      <c r="D232" s="26" t="s">
        <v>3</v>
      </c>
      <c r="E232" s="26" t="s">
        <v>3</v>
      </c>
      <c r="F232" s="26" t="s">
        <v>52</v>
      </c>
      <c r="G232" s="26" t="s">
        <v>53</v>
      </c>
      <c r="H232" s="26" t="s">
        <v>312</v>
      </c>
      <c r="I232" s="25">
        <v>5</v>
      </c>
      <c r="J232" s="27">
        <v>15430.1</v>
      </c>
      <c r="K232" s="27">
        <v>5</v>
      </c>
      <c r="L232" s="27">
        <v>14658.59</v>
      </c>
      <c r="M232" s="27">
        <v>73292.95</v>
      </c>
      <c r="N232" s="27">
        <v>39898.370000000003</v>
      </c>
      <c r="O232" s="27">
        <v>33394.58</v>
      </c>
      <c r="P232" s="28">
        <v>45.56</v>
      </c>
      <c r="Q232" s="29">
        <v>45016</v>
      </c>
      <c r="R232" s="29">
        <v>45019</v>
      </c>
      <c r="S232" s="26" t="s">
        <v>76</v>
      </c>
      <c r="T232" s="26" t="s">
        <v>56</v>
      </c>
      <c r="U232" s="26" t="s">
        <v>77</v>
      </c>
      <c r="V232" s="26" t="s">
        <v>58</v>
      </c>
    </row>
    <row r="233" spans="1:22" ht="18" customHeight="1" x14ac:dyDescent="0.3">
      <c r="A233" s="3" t="s">
        <v>834</v>
      </c>
      <c r="B233" s="3" t="s">
        <v>835</v>
      </c>
      <c r="C233" s="4" t="s">
        <v>836</v>
      </c>
      <c r="D233" s="4" t="s">
        <v>4</v>
      </c>
      <c r="E233" s="4" t="s">
        <v>62</v>
      </c>
      <c r="F233" s="4" t="s">
        <v>63</v>
      </c>
      <c r="G233" s="4" t="s">
        <v>64</v>
      </c>
      <c r="H233" s="4" t="s">
        <v>735</v>
      </c>
      <c r="I233" s="3">
        <v>3</v>
      </c>
      <c r="J233" s="5">
        <v>34025.65</v>
      </c>
      <c r="K233" s="5">
        <v>15</v>
      </c>
      <c r="L233" s="5">
        <v>28921.8</v>
      </c>
      <c r="M233" s="5">
        <v>86765.4</v>
      </c>
      <c r="N233" s="5">
        <v>42238.06</v>
      </c>
      <c r="O233" s="5">
        <v>44527.34</v>
      </c>
      <c r="P233" s="24">
        <v>51.32</v>
      </c>
      <c r="Q233" s="6">
        <v>45292</v>
      </c>
      <c r="R233" s="6">
        <v>45302</v>
      </c>
      <c r="S233" s="4" t="s">
        <v>86</v>
      </c>
      <c r="T233" s="4" t="s">
        <v>56</v>
      </c>
      <c r="U233" s="4" t="s">
        <v>87</v>
      </c>
      <c r="V233" s="4" t="s">
        <v>68</v>
      </c>
    </row>
    <row r="234" spans="1:22" ht="18" customHeight="1" x14ac:dyDescent="0.3">
      <c r="A234" s="25" t="s">
        <v>837</v>
      </c>
      <c r="B234" s="25" t="s">
        <v>195</v>
      </c>
      <c r="C234" s="26" t="s">
        <v>838</v>
      </c>
      <c r="D234" s="26" t="s">
        <v>5</v>
      </c>
      <c r="E234" s="26" t="s">
        <v>72</v>
      </c>
      <c r="F234" s="26" t="s">
        <v>73</v>
      </c>
      <c r="G234" s="26" t="s">
        <v>74</v>
      </c>
      <c r="H234" s="26" t="s">
        <v>175</v>
      </c>
      <c r="I234" s="25">
        <v>9</v>
      </c>
      <c r="J234" s="27">
        <v>20281.87</v>
      </c>
      <c r="K234" s="27">
        <v>30</v>
      </c>
      <c r="L234" s="27">
        <v>14197.31</v>
      </c>
      <c r="M234" s="27">
        <v>127775.79</v>
      </c>
      <c r="N234" s="27">
        <v>68886.48</v>
      </c>
      <c r="O234" s="27">
        <v>58889.31</v>
      </c>
      <c r="P234" s="28">
        <v>46.09</v>
      </c>
      <c r="Q234" s="29">
        <v>45227</v>
      </c>
      <c r="R234" s="29">
        <v>45232</v>
      </c>
      <c r="S234" s="26" t="s">
        <v>55</v>
      </c>
      <c r="T234" s="26" t="s">
        <v>56</v>
      </c>
      <c r="U234" s="26" t="s">
        <v>57</v>
      </c>
      <c r="V234" s="26" t="s">
        <v>78</v>
      </c>
    </row>
    <row r="235" spans="1:22" ht="18" customHeight="1" x14ac:dyDescent="0.3">
      <c r="A235" s="3" t="s">
        <v>839</v>
      </c>
      <c r="B235" s="3" t="s">
        <v>840</v>
      </c>
      <c r="C235" s="4" t="s">
        <v>136</v>
      </c>
      <c r="D235" s="4" t="s">
        <v>6</v>
      </c>
      <c r="E235" s="4" t="s">
        <v>82</v>
      </c>
      <c r="F235" s="4" t="s">
        <v>83</v>
      </c>
      <c r="G235" s="4" t="s">
        <v>84</v>
      </c>
      <c r="H235" s="4" t="s">
        <v>179</v>
      </c>
      <c r="I235" s="3">
        <v>5</v>
      </c>
      <c r="J235" s="5">
        <v>49133.13</v>
      </c>
      <c r="K235" s="5">
        <v>15</v>
      </c>
      <c r="L235" s="5">
        <v>41763.160000000003</v>
      </c>
      <c r="M235" s="5">
        <v>208815.8</v>
      </c>
      <c r="N235" s="5">
        <v>121110.71</v>
      </c>
      <c r="O235" s="5">
        <v>87705.09</v>
      </c>
      <c r="P235" s="24">
        <v>42</v>
      </c>
      <c r="Q235" s="6">
        <v>45340</v>
      </c>
      <c r="R235" s="6">
        <v>45350</v>
      </c>
      <c r="S235" s="4" t="s">
        <v>66</v>
      </c>
      <c r="T235" s="4" t="s">
        <v>56</v>
      </c>
      <c r="U235" s="4" t="s">
        <v>67</v>
      </c>
      <c r="V235" s="4" t="s">
        <v>88</v>
      </c>
    </row>
    <row r="236" spans="1:22" ht="18" customHeight="1" x14ac:dyDescent="0.3">
      <c r="A236" s="25" t="s">
        <v>841</v>
      </c>
      <c r="B236" s="25" t="s">
        <v>842</v>
      </c>
      <c r="C236" s="26" t="s">
        <v>843</v>
      </c>
      <c r="D236" s="26" t="s">
        <v>7</v>
      </c>
      <c r="E236" s="26" t="s">
        <v>92</v>
      </c>
      <c r="F236" s="26" t="s">
        <v>93</v>
      </c>
      <c r="G236" s="26" t="s">
        <v>94</v>
      </c>
      <c r="H236" s="26" t="s">
        <v>358</v>
      </c>
      <c r="I236" s="25">
        <v>1</v>
      </c>
      <c r="J236" s="27">
        <v>24001.05</v>
      </c>
      <c r="K236" s="27">
        <v>0</v>
      </c>
      <c r="L236" s="27">
        <v>24001.05</v>
      </c>
      <c r="M236" s="27">
        <v>24001.05</v>
      </c>
      <c r="N236" s="27">
        <v>14878.21</v>
      </c>
      <c r="O236" s="27">
        <v>9122.84</v>
      </c>
      <c r="P236" s="28">
        <v>38.01</v>
      </c>
      <c r="Q236" s="29">
        <v>45381</v>
      </c>
      <c r="R236" s="29">
        <v>45387</v>
      </c>
      <c r="S236" s="26" t="s">
        <v>76</v>
      </c>
      <c r="T236" s="26" t="s">
        <v>102</v>
      </c>
      <c r="U236" s="26" t="s">
        <v>77</v>
      </c>
      <c r="V236" s="26" t="s">
        <v>96</v>
      </c>
    </row>
    <row r="237" spans="1:22" ht="18" customHeight="1" x14ac:dyDescent="0.3">
      <c r="A237" s="3" t="s">
        <v>844</v>
      </c>
      <c r="B237" s="3" t="s">
        <v>845</v>
      </c>
      <c r="C237" s="4" t="s">
        <v>846</v>
      </c>
      <c r="D237" s="4" t="s">
        <v>8</v>
      </c>
      <c r="E237" s="4" t="s">
        <v>100</v>
      </c>
      <c r="F237" s="4" t="s">
        <v>52</v>
      </c>
      <c r="G237" s="4" t="s">
        <v>53</v>
      </c>
      <c r="H237" s="4" t="s">
        <v>294</v>
      </c>
      <c r="I237" s="3">
        <v>5</v>
      </c>
      <c r="J237" s="5">
        <v>22860.02</v>
      </c>
      <c r="K237" s="5">
        <v>15</v>
      </c>
      <c r="L237" s="5">
        <v>19431.02</v>
      </c>
      <c r="M237" s="5">
        <v>97155.1</v>
      </c>
      <c r="N237" s="5">
        <v>47042.42</v>
      </c>
      <c r="O237" s="5">
        <v>50112.68</v>
      </c>
      <c r="P237" s="24">
        <v>51.58</v>
      </c>
      <c r="Q237" s="6">
        <v>45340</v>
      </c>
      <c r="R237" s="6">
        <v>45350</v>
      </c>
      <c r="S237" s="4" t="s">
        <v>86</v>
      </c>
      <c r="T237" s="4" t="s">
        <v>56</v>
      </c>
      <c r="U237" s="4" t="s">
        <v>87</v>
      </c>
      <c r="V237" s="4" t="s">
        <v>103</v>
      </c>
    </row>
    <row r="238" spans="1:22" ht="18" customHeight="1" x14ac:dyDescent="0.3">
      <c r="A238" s="25" t="s">
        <v>847</v>
      </c>
      <c r="B238" s="25" t="s">
        <v>848</v>
      </c>
      <c r="C238" s="26" t="s">
        <v>849</v>
      </c>
      <c r="D238" s="26" t="s">
        <v>23</v>
      </c>
      <c r="E238" s="26" t="s">
        <v>107</v>
      </c>
      <c r="F238" s="26" t="s">
        <v>63</v>
      </c>
      <c r="G238" s="26" t="s">
        <v>64</v>
      </c>
      <c r="H238" s="26" t="s">
        <v>707</v>
      </c>
      <c r="I238" s="25">
        <v>4</v>
      </c>
      <c r="J238" s="27">
        <v>20732.32</v>
      </c>
      <c r="K238" s="27">
        <v>30</v>
      </c>
      <c r="L238" s="27">
        <v>14512.62</v>
      </c>
      <c r="M238" s="27">
        <v>58050.48</v>
      </c>
      <c r="N238" s="27">
        <v>43225.26</v>
      </c>
      <c r="O238" s="27">
        <v>14825.22</v>
      </c>
      <c r="P238" s="28">
        <v>25.54</v>
      </c>
      <c r="Q238" s="29">
        <v>45447</v>
      </c>
      <c r="R238" s="29">
        <v>45457</v>
      </c>
      <c r="S238" s="26" t="s">
        <v>55</v>
      </c>
      <c r="T238" s="26" t="s">
        <v>56</v>
      </c>
      <c r="U238" s="26" t="s">
        <v>57</v>
      </c>
      <c r="V238" s="26" t="s">
        <v>109</v>
      </c>
    </row>
    <row r="239" spans="1:22" ht="18" customHeight="1" x14ac:dyDescent="0.3">
      <c r="A239" s="3" t="s">
        <v>850</v>
      </c>
      <c r="B239" s="3" t="s">
        <v>851</v>
      </c>
      <c r="C239" s="4" t="s">
        <v>852</v>
      </c>
      <c r="D239" s="4" t="s">
        <v>24</v>
      </c>
      <c r="E239" s="4" t="s">
        <v>113</v>
      </c>
      <c r="F239" s="4" t="s">
        <v>73</v>
      </c>
      <c r="G239" s="4" t="s">
        <v>74</v>
      </c>
      <c r="H239" s="4" t="s">
        <v>319</v>
      </c>
      <c r="I239" s="3">
        <v>9</v>
      </c>
      <c r="J239" s="5">
        <v>16261.53</v>
      </c>
      <c r="K239" s="5">
        <v>15</v>
      </c>
      <c r="L239" s="5">
        <v>13822.3</v>
      </c>
      <c r="M239" s="5">
        <v>124400.7</v>
      </c>
      <c r="N239" s="5">
        <v>79547.47</v>
      </c>
      <c r="O239" s="5">
        <v>44853.23</v>
      </c>
      <c r="P239" s="24">
        <v>36.06</v>
      </c>
      <c r="Q239" s="6">
        <v>45538</v>
      </c>
      <c r="R239" s="6">
        <v>45543</v>
      </c>
      <c r="S239" s="4" t="s">
        <v>66</v>
      </c>
      <c r="T239" s="4" t="s">
        <v>56</v>
      </c>
      <c r="U239" s="4" t="s">
        <v>67</v>
      </c>
      <c r="V239" s="4" t="s">
        <v>115</v>
      </c>
    </row>
    <row r="240" spans="1:22" ht="18" customHeight="1" x14ac:dyDescent="0.3">
      <c r="A240" s="25" t="s">
        <v>853</v>
      </c>
      <c r="B240" s="25" t="s">
        <v>854</v>
      </c>
      <c r="C240" s="26" t="s">
        <v>259</v>
      </c>
      <c r="D240" s="26" t="s">
        <v>25</v>
      </c>
      <c r="E240" s="26" t="s">
        <v>107</v>
      </c>
      <c r="F240" s="26" t="s">
        <v>83</v>
      </c>
      <c r="G240" s="26" t="s">
        <v>84</v>
      </c>
      <c r="H240" s="26" t="s">
        <v>287</v>
      </c>
      <c r="I240" s="25">
        <v>5</v>
      </c>
      <c r="J240" s="27">
        <v>35202.11</v>
      </c>
      <c r="K240" s="27">
        <v>30</v>
      </c>
      <c r="L240" s="27">
        <v>24641.48</v>
      </c>
      <c r="M240" s="27">
        <v>123207.4</v>
      </c>
      <c r="N240" s="27">
        <v>70046.399999999994</v>
      </c>
      <c r="O240" s="27">
        <v>53161</v>
      </c>
      <c r="P240" s="28">
        <v>43.15</v>
      </c>
      <c r="Q240" s="29">
        <v>45570</v>
      </c>
      <c r="R240" s="29">
        <v>45578</v>
      </c>
      <c r="S240" s="26" t="s">
        <v>76</v>
      </c>
      <c r="T240" s="26" t="s">
        <v>102</v>
      </c>
      <c r="U240" s="26" t="s">
        <v>77</v>
      </c>
      <c r="V240" s="26" t="s">
        <v>120</v>
      </c>
    </row>
    <row r="241" spans="1:22" ht="18" customHeight="1" x14ac:dyDescent="0.3">
      <c r="A241" s="3" t="s">
        <v>855</v>
      </c>
      <c r="B241" s="3" t="s">
        <v>856</v>
      </c>
      <c r="C241" s="4" t="s">
        <v>857</v>
      </c>
      <c r="D241" s="4" t="s">
        <v>9</v>
      </c>
      <c r="E241" s="4" t="s">
        <v>62</v>
      </c>
      <c r="F241" s="4" t="s">
        <v>93</v>
      </c>
      <c r="G241" s="4" t="s">
        <v>94</v>
      </c>
      <c r="H241" s="4" t="s">
        <v>219</v>
      </c>
      <c r="I241" s="3">
        <v>9</v>
      </c>
      <c r="J241" s="5">
        <v>38218.660000000003</v>
      </c>
      <c r="K241" s="5">
        <v>30</v>
      </c>
      <c r="L241" s="5">
        <v>26753.06</v>
      </c>
      <c r="M241" s="5">
        <v>240777.54</v>
      </c>
      <c r="N241" s="5">
        <v>170395.72</v>
      </c>
      <c r="O241" s="5">
        <v>70381.820000000007</v>
      </c>
      <c r="P241" s="24">
        <v>29.23</v>
      </c>
      <c r="Q241" s="6">
        <v>45136</v>
      </c>
      <c r="R241" s="6">
        <v>45138</v>
      </c>
      <c r="S241" s="4" t="s">
        <v>86</v>
      </c>
      <c r="T241" s="4" t="s">
        <v>56</v>
      </c>
      <c r="U241" s="4" t="s">
        <v>87</v>
      </c>
      <c r="V241" s="4" t="s">
        <v>125</v>
      </c>
    </row>
    <row r="242" spans="1:22" ht="18" customHeight="1" x14ac:dyDescent="0.3">
      <c r="A242" s="25" t="s">
        <v>858</v>
      </c>
      <c r="B242" s="25" t="s">
        <v>859</v>
      </c>
      <c r="C242" s="26" t="s">
        <v>860</v>
      </c>
      <c r="D242" s="26" t="s">
        <v>3</v>
      </c>
      <c r="E242" s="26" t="s">
        <v>3</v>
      </c>
      <c r="F242" s="26" t="s">
        <v>52</v>
      </c>
      <c r="G242" s="26" t="s">
        <v>53</v>
      </c>
      <c r="H242" s="26" t="s">
        <v>613</v>
      </c>
      <c r="I242" s="25">
        <v>3</v>
      </c>
      <c r="J242" s="27">
        <v>16729.900000000001</v>
      </c>
      <c r="K242" s="27">
        <v>30</v>
      </c>
      <c r="L242" s="27">
        <v>11710.93</v>
      </c>
      <c r="M242" s="27">
        <v>35132.79</v>
      </c>
      <c r="N242" s="27">
        <v>16750.689999999999</v>
      </c>
      <c r="O242" s="27">
        <v>18382.099999999999</v>
      </c>
      <c r="P242" s="28">
        <v>52.32</v>
      </c>
      <c r="Q242" s="29">
        <v>45123</v>
      </c>
      <c r="R242" s="29">
        <v>45127</v>
      </c>
      <c r="S242" s="26" t="s">
        <v>55</v>
      </c>
      <c r="T242" s="26" t="s">
        <v>56</v>
      </c>
      <c r="U242" s="26" t="s">
        <v>57</v>
      </c>
      <c r="V242" s="26" t="s">
        <v>58</v>
      </c>
    </row>
    <row r="243" spans="1:22" ht="18" customHeight="1" x14ac:dyDescent="0.3">
      <c r="A243" s="3" t="s">
        <v>861</v>
      </c>
      <c r="B243" s="3" t="s">
        <v>862</v>
      </c>
      <c r="C243" s="4" t="s">
        <v>225</v>
      </c>
      <c r="D243" s="4" t="s">
        <v>4</v>
      </c>
      <c r="E243" s="4" t="s">
        <v>62</v>
      </c>
      <c r="F243" s="4" t="s">
        <v>63</v>
      </c>
      <c r="G243" s="4" t="s">
        <v>64</v>
      </c>
      <c r="H243" s="4" t="s">
        <v>707</v>
      </c>
      <c r="I243" s="3">
        <v>4</v>
      </c>
      <c r="J243" s="5">
        <v>29189.52</v>
      </c>
      <c r="K243" s="5">
        <v>0</v>
      </c>
      <c r="L243" s="5">
        <v>29189.52</v>
      </c>
      <c r="M243" s="5">
        <v>116758.08</v>
      </c>
      <c r="N243" s="5">
        <v>63084.18</v>
      </c>
      <c r="O243" s="5">
        <v>53673.9</v>
      </c>
      <c r="P243" s="24">
        <v>45.97</v>
      </c>
      <c r="Q243" s="6">
        <v>45272</v>
      </c>
      <c r="R243" s="6">
        <v>45276</v>
      </c>
      <c r="S243" s="4" t="s">
        <v>66</v>
      </c>
      <c r="T243" s="4" t="s">
        <v>56</v>
      </c>
      <c r="U243" s="4" t="s">
        <v>67</v>
      </c>
      <c r="V243" s="4" t="s">
        <v>68</v>
      </c>
    </row>
    <row r="244" spans="1:22" ht="18" customHeight="1" x14ac:dyDescent="0.3">
      <c r="A244" s="25" t="s">
        <v>863</v>
      </c>
      <c r="B244" s="25" t="s">
        <v>864</v>
      </c>
      <c r="C244" s="26" t="s">
        <v>804</v>
      </c>
      <c r="D244" s="26" t="s">
        <v>5</v>
      </c>
      <c r="E244" s="26" t="s">
        <v>72</v>
      </c>
      <c r="F244" s="26" t="s">
        <v>73</v>
      </c>
      <c r="G244" s="26" t="s">
        <v>74</v>
      </c>
      <c r="H244" s="26" t="s">
        <v>267</v>
      </c>
      <c r="I244" s="25">
        <v>5</v>
      </c>
      <c r="J244" s="27">
        <v>28590.37</v>
      </c>
      <c r="K244" s="27">
        <v>20</v>
      </c>
      <c r="L244" s="27">
        <v>22872.3</v>
      </c>
      <c r="M244" s="27">
        <v>114361.5</v>
      </c>
      <c r="N244" s="27">
        <v>66620.929999999993</v>
      </c>
      <c r="O244" s="27">
        <v>47740.57</v>
      </c>
      <c r="P244" s="28">
        <v>41.75</v>
      </c>
      <c r="Q244" s="29">
        <v>45307</v>
      </c>
      <c r="R244" s="29">
        <v>45313</v>
      </c>
      <c r="S244" s="26" t="s">
        <v>76</v>
      </c>
      <c r="T244" s="26" t="s">
        <v>56</v>
      </c>
      <c r="U244" s="26" t="s">
        <v>77</v>
      </c>
      <c r="V244" s="26" t="s">
        <v>78</v>
      </c>
    </row>
    <row r="245" spans="1:22" ht="18" customHeight="1" x14ac:dyDescent="0.3">
      <c r="A245" s="3" t="s">
        <v>865</v>
      </c>
      <c r="B245" s="3" t="s">
        <v>866</v>
      </c>
      <c r="C245" s="4" t="s">
        <v>867</v>
      </c>
      <c r="D245" s="4" t="s">
        <v>6</v>
      </c>
      <c r="E245" s="4" t="s">
        <v>82</v>
      </c>
      <c r="F245" s="4" t="s">
        <v>83</v>
      </c>
      <c r="G245" s="4" t="s">
        <v>84</v>
      </c>
      <c r="H245" s="4" t="s">
        <v>536</v>
      </c>
      <c r="I245" s="3">
        <v>9</v>
      </c>
      <c r="J245" s="5">
        <v>13312.09</v>
      </c>
      <c r="K245" s="5">
        <v>25</v>
      </c>
      <c r="L245" s="5">
        <v>9984.07</v>
      </c>
      <c r="M245" s="5">
        <v>89856.63</v>
      </c>
      <c r="N245" s="5">
        <v>50545.75</v>
      </c>
      <c r="O245" s="5">
        <v>39310.879999999997</v>
      </c>
      <c r="P245" s="24">
        <v>43.75</v>
      </c>
      <c r="Q245" s="6">
        <v>44956</v>
      </c>
      <c r="R245" s="6">
        <v>44965</v>
      </c>
      <c r="S245" s="4" t="s">
        <v>86</v>
      </c>
      <c r="T245" s="4" t="s">
        <v>56</v>
      </c>
      <c r="U245" s="4" t="s">
        <v>87</v>
      </c>
      <c r="V245" s="4" t="s">
        <v>88</v>
      </c>
    </row>
    <row r="246" spans="1:22" ht="18" customHeight="1" x14ac:dyDescent="0.3">
      <c r="A246" s="25" t="s">
        <v>868</v>
      </c>
      <c r="B246" s="25" t="s">
        <v>869</v>
      </c>
      <c r="C246" s="26" t="s">
        <v>870</v>
      </c>
      <c r="D246" s="26" t="s">
        <v>7</v>
      </c>
      <c r="E246" s="26" t="s">
        <v>92</v>
      </c>
      <c r="F246" s="26" t="s">
        <v>93</v>
      </c>
      <c r="G246" s="26" t="s">
        <v>94</v>
      </c>
      <c r="H246" s="26" t="s">
        <v>509</v>
      </c>
      <c r="I246" s="25">
        <v>7</v>
      </c>
      <c r="J246" s="27">
        <v>30709.06</v>
      </c>
      <c r="K246" s="27">
        <v>25</v>
      </c>
      <c r="L246" s="27">
        <v>23031.8</v>
      </c>
      <c r="M246" s="27">
        <v>161222.6</v>
      </c>
      <c r="N246" s="27">
        <v>75950.539999999994</v>
      </c>
      <c r="O246" s="27">
        <v>85272.06</v>
      </c>
      <c r="P246" s="28">
        <v>52.89</v>
      </c>
      <c r="Q246" s="29">
        <v>45267</v>
      </c>
      <c r="R246" s="29">
        <v>45271</v>
      </c>
      <c r="S246" s="26" t="s">
        <v>55</v>
      </c>
      <c r="T246" s="26" t="s">
        <v>56</v>
      </c>
      <c r="U246" s="26" t="s">
        <v>57</v>
      </c>
      <c r="V246" s="26" t="s">
        <v>96</v>
      </c>
    </row>
    <row r="247" spans="1:22" ht="18" customHeight="1" x14ac:dyDescent="0.3">
      <c r="A247" s="3" t="s">
        <v>871</v>
      </c>
      <c r="B247" s="3" t="s">
        <v>872</v>
      </c>
      <c r="C247" s="4" t="s">
        <v>873</v>
      </c>
      <c r="D247" s="4" t="s">
        <v>8</v>
      </c>
      <c r="E247" s="4" t="s">
        <v>100</v>
      </c>
      <c r="F247" s="4" t="s">
        <v>52</v>
      </c>
      <c r="G247" s="4" t="s">
        <v>53</v>
      </c>
      <c r="H247" s="4" t="s">
        <v>312</v>
      </c>
      <c r="I247" s="3">
        <v>3</v>
      </c>
      <c r="J247" s="5">
        <v>9247.6299999999992</v>
      </c>
      <c r="K247" s="5">
        <v>25</v>
      </c>
      <c r="L247" s="5">
        <v>6935.72</v>
      </c>
      <c r="M247" s="5">
        <v>20807.16</v>
      </c>
      <c r="N247" s="5">
        <v>12970.46</v>
      </c>
      <c r="O247" s="5">
        <v>7836.7</v>
      </c>
      <c r="P247" s="24">
        <v>37.659999999999997</v>
      </c>
      <c r="Q247" s="6">
        <v>45185</v>
      </c>
      <c r="R247" s="6">
        <v>45187</v>
      </c>
      <c r="S247" s="4" t="s">
        <v>66</v>
      </c>
      <c r="T247" s="4" t="s">
        <v>56</v>
      </c>
      <c r="U247" s="4" t="s">
        <v>67</v>
      </c>
      <c r="V247" s="4" t="s">
        <v>103</v>
      </c>
    </row>
    <row r="248" spans="1:22" ht="18" customHeight="1" x14ac:dyDescent="0.3">
      <c r="A248" s="25" t="s">
        <v>874</v>
      </c>
      <c r="B248" s="25" t="s">
        <v>875</v>
      </c>
      <c r="C248" s="26" t="s">
        <v>876</v>
      </c>
      <c r="D248" s="26" t="s">
        <v>23</v>
      </c>
      <c r="E248" s="26" t="s">
        <v>107</v>
      </c>
      <c r="F248" s="26" t="s">
        <v>63</v>
      </c>
      <c r="G248" s="26" t="s">
        <v>64</v>
      </c>
      <c r="H248" s="26" t="s">
        <v>347</v>
      </c>
      <c r="I248" s="25">
        <v>1</v>
      </c>
      <c r="J248" s="27">
        <v>45859.92</v>
      </c>
      <c r="K248" s="27">
        <v>0</v>
      </c>
      <c r="L248" s="27">
        <v>45859.92</v>
      </c>
      <c r="M248" s="27">
        <v>45859.92</v>
      </c>
      <c r="N248" s="27">
        <v>20978.68</v>
      </c>
      <c r="O248" s="27">
        <v>24881.24</v>
      </c>
      <c r="P248" s="28">
        <v>54.25</v>
      </c>
      <c r="Q248" s="29">
        <v>45346</v>
      </c>
      <c r="R248" s="29">
        <v>45355</v>
      </c>
      <c r="S248" s="26" t="s">
        <v>76</v>
      </c>
      <c r="T248" s="26" t="s">
        <v>56</v>
      </c>
      <c r="U248" s="26" t="s">
        <v>77</v>
      </c>
      <c r="V248" s="26" t="s">
        <v>109</v>
      </c>
    </row>
    <row r="249" spans="1:22" ht="18" customHeight="1" x14ac:dyDescent="0.3">
      <c r="A249" s="3" t="s">
        <v>877</v>
      </c>
      <c r="B249" s="3" t="s">
        <v>162</v>
      </c>
      <c r="C249" s="4" t="s">
        <v>878</v>
      </c>
      <c r="D249" s="4" t="s">
        <v>24</v>
      </c>
      <c r="E249" s="4" t="s">
        <v>113</v>
      </c>
      <c r="F249" s="4" t="s">
        <v>73</v>
      </c>
      <c r="G249" s="4" t="s">
        <v>74</v>
      </c>
      <c r="H249" s="4" t="s">
        <v>319</v>
      </c>
      <c r="I249" s="3">
        <v>2</v>
      </c>
      <c r="J249" s="5">
        <v>39253.26</v>
      </c>
      <c r="K249" s="5">
        <v>0</v>
      </c>
      <c r="L249" s="5">
        <v>39253.26</v>
      </c>
      <c r="M249" s="5">
        <v>78506.52</v>
      </c>
      <c r="N249" s="5">
        <v>49961.54</v>
      </c>
      <c r="O249" s="5">
        <v>28544.98</v>
      </c>
      <c r="P249" s="24">
        <v>36.36</v>
      </c>
      <c r="Q249" s="6">
        <v>44970</v>
      </c>
      <c r="R249" s="6">
        <v>44976</v>
      </c>
      <c r="S249" s="4" t="s">
        <v>86</v>
      </c>
      <c r="T249" s="4" t="s">
        <v>56</v>
      </c>
      <c r="U249" s="4" t="s">
        <v>87</v>
      </c>
      <c r="V249" s="4" t="s">
        <v>115</v>
      </c>
    </row>
    <row r="250" spans="1:22" ht="18" customHeight="1" x14ac:dyDescent="0.3">
      <c r="A250" s="25" t="s">
        <v>879</v>
      </c>
      <c r="B250" s="25" t="s">
        <v>880</v>
      </c>
      <c r="C250" s="26" t="s">
        <v>881</v>
      </c>
      <c r="D250" s="26" t="s">
        <v>25</v>
      </c>
      <c r="E250" s="26" t="s">
        <v>107</v>
      </c>
      <c r="F250" s="26" t="s">
        <v>83</v>
      </c>
      <c r="G250" s="26" t="s">
        <v>84</v>
      </c>
      <c r="H250" s="26" t="s">
        <v>119</v>
      </c>
      <c r="I250" s="25">
        <v>9</v>
      </c>
      <c r="J250" s="27">
        <v>9362.15</v>
      </c>
      <c r="K250" s="27">
        <v>5</v>
      </c>
      <c r="L250" s="27">
        <v>8894.0400000000009</v>
      </c>
      <c r="M250" s="27">
        <v>80046.36</v>
      </c>
      <c r="N250" s="27">
        <v>36909.199999999997</v>
      </c>
      <c r="O250" s="27">
        <v>43137.16</v>
      </c>
      <c r="P250" s="28">
        <v>53.89</v>
      </c>
      <c r="Q250" s="29">
        <v>45025</v>
      </c>
      <c r="R250" s="29">
        <v>45026</v>
      </c>
      <c r="S250" s="26" t="s">
        <v>55</v>
      </c>
      <c r="T250" s="26" t="s">
        <v>56</v>
      </c>
      <c r="U250" s="26" t="s">
        <v>57</v>
      </c>
      <c r="V250" s="26" t="s">
        <v>120</v>
      </c>
    </row>
    <row r="251" spans="1:22" ht="18" customHeight="1" x14ac:dyDescent="0.3">
      <c r="A251" s="3" t="s">
        <v>882</v>
      </c>
      <c r="B251" s="3" t="s">
        <v>883</v>
      </c>
      <c r="C251" s="4" t="s">
        <v>521</v>
      </c>
      <c r="D251" s="4" t="s">
        <v>9</v>
      </c>
      <c r="E251" s="4" t="s">
        <v>62</v>
      </c>
      <c r="F251" s="4" t="s">
        <v>93</v>
      </c>
      <c r="G251" s="4" t="s">
        <v>94</v>
      </c>
      <c r="H251" s="4" t="s">
        <v>291</v>
      </c>
      <c r="I251" s="3">
        <v>10</v>
      </c>
      <c r="J251" s="5">
        <v>24082.14</v>
      </c>
      <c r="K251" s="5">
        <v>30</v>
      </c>
      <c r="L251" s="5">
        <v>16857.5</v>
      </c>
      <c r="M251" s="5">
        <v>168575</v>
      </c>
      <c r="N251" s="5">
        <v>102884.75</v>
      </c>
      <c r="O251" s="5">
        <v>65690.25</v>
      </c>
      <c r="P251" s="24">
        <v>38.97</v>
      </c>
      <c r="Q251" s="6">
        <v>45178</v>
      </c>
      <c r="R251" s="6">
        <v>45184</v>
      </c>
      <c r="S251" s="4" t="s">
        <v>66</v>
      </c>
      <c r="T251" s="4" t="s">
        <v>56</v>
      </c>
      <c r="U251" s="4" t="s">
        <v>67</v>
      </c>
      <c r="V251" s="4" t="s">
        <v>125</v>
      </c>
    </row>
    <row r="252" spans="1:22" ht="18" customHeight="1" x14ac:dyDescent="0.3">
      <c r="A252" s="25" t="s">
        <v>884</v>
      </c>
      <c r="B252" s="25" t="s">
        <v>885</v>
      </c>
      <c r="C252" s="26" t="s">
        <v>886</v>
      </c>
      <c r="D252" s="26" t="s">
        <v>3</v>
      </c>
      <c r="E252" s="26" t="s">
        <v>3</v>
      </c>
      <c r="F252" s="26" t="s">
        <v>52</v>
      </c>
      <c r="G252" s="26" t="s">
        <v>53</v>
      </c>
      <c r="H252" s="26" t="s">
        <v>887</v>
      </c>
      <c r="I252" s="25">
        <v>9</v>
      </c>
      <c r="J252" s="27">
        <v>43924.03</v>
      </c>
      <c r="K252" s="27">
        <v>20</v>
      </c>
      <c r="L252" s="27">
        <v>35139.22</v>
      </c>
      <c r="M252" s="27">
        <v>316252.98</v>
      </c>
      <c r="N252" s="27">
        <v>208412.52</v>
      </c>
      <c r="O252" s="27">
        <v>107840.46</v>
      </c>
      <c r="P252" s="28">
        <v>34.1</v>
      </c>
      <c r="Q252" s="29">
        <v>45111</v>
      </c>
      <c r="R252" s="29">
        <v>45119</v>
      </c>
      <c r="S252" s="26" t="s">
        <v>76</v>
      </c>
      <c r="T252" s="26" t="s">
        <v>56</v>
      </c>
      <c r="U252" s="26" t="s">
        <v>77</v>
      </c>
      <c r="V252" s="26" t="s">
        <v>58</v>
      </c>
    </row>
    <row r="253" spans="1:22" ht="18" customHeight="1" x14ac:dyDescent="0.3">
      <c r="A253" s="3" t="s">
        <v>888</v>
      </c>
      <c r="B253" s="3" t="s">
        <v>889</v>
      </c>
      <c r="C253" s="4" t="s">
        <v>890</v>
      </c>
      <c r="D253" s="4" t="s">
        <v>4</v>
      </c>
      <c r="E253" s="4" t="s">
        <v>62</v>
      </c>
      <c r="F253" s="4" t="s">
        <v>63</v>
      </c>
      <c r="G253" s="4" t="s">
        <v>64</v>
      </c>
      <c r="H253" s="4" t="s">
        <v>332</v>
      </c>
      <c r="I253" s="3">
        <v>1</v>
      </c>
      <c r="J253" s="5">
        <v>48619.16</v>
      </c>
      <c r="K253" s="5">
        <v>20</v>
      </c>
      <c r="L253" s="5">
        <v>38895.33</v>
      </c>
      <c r="M253" s="5">
        <v>38895.33</v>
      </c>
      <c r="N253" s="5">
        <v>23420.02</v>
      </c>
      <c r="O253" s="5">
        <v>15475.31</v>
      </c>
      <c r="P253" s="24">
        <v>39.79</v>
      </c>
      <c r="Q253" s="6">
        <v>45205</v>
      </c>
      <c r="R253" s="6">
        <v>45213</v>
      </c>
      <c r="S253" s="4" t="s">
        <v>86</v>
      </c>
      <c r="T253" s="4" t="s">
        <v>56</v>
      </c>
      <c r="U253" s="4" t="s">
        <v>87</v>
      </c>
      <c r="V253" s="4" t="s">
        <v>68</v>
      </c>
    </row>
    <row r="254" spans="1:22" ht="18" customHeight="1" x14ac:dyDescent="0.3">
      <c r="A254" s="25" t="s">
        <v>891</v>
      </c>
      <c r="B254" s="25" t="s">
        <v>892</v>
      </c>
      <c r="C254" s="26" t="s">
        <v>893</v>
      </c>
      <c r="D254" s="26" t="s">
        <v>5</v>
      </c>
      <c r="E254" s="26" t="s">
        <v>72</v>
      </c>
      <c r="F254" s="26" t="s">
        <v>73</v>
      </c>
      <c r="G254" s="26" t="s">
        <v>74</v>
      </c>
      <c r="H254" s="26" t="s">
        <v>75</v>
      </c>
      <c r="I254" s="25">
        <v>10</v>
      </c>
      <c r="J254" s="27">
        <v>40698.9</v>
      </c>
      <c r="K254" s="27">
        <v>0</v>
      </c>
      <c r="L254" s="27">
        <v>40698.9</v>
      </c>
      <c r="M254" s="27">
        <v>406989</v>
      </c>
      <c r="N254" s="27">
        <v>280408.76</v>
      </c>
      <c r="O254" s="27">
        <v>126580.24</v>
      </c>
      <c r="P254" s="28">
        <v>31.1</v>
      </c>
      <c r="Q254" s="29">
        <v>45135</v>
      </c>
      <c r="R254" s="29">
        <v>45139</v>
      </c>
      <c r="S254" s="26" t="s">
        <v>55</v>
      </c>
      <c r="T254" s="26" t="s">
        <v>56</v>
      </c>
      <c r="U254" s="26" t="s">
        <v>57</v>
      </c>
      <c r="V254" s="26" t="s">
        <v>78</v>
      </c>
    </row>
    <row r="255" spans="1:22" ht="18" customHeight="1" x14ac:dyDescent="0.3">
      <c r="A255" s="3" t="s">
        <v>894</v>
      </c>
      <c r="B255" s="3" t="s">
        <v>895</v>
      </c>
      <c r="C255" s="4" t="s">
        <v>896</v>
      </c>
      <c r="D255" s="4" t="s">
        <v>6</v>
      </c>
      <c r="E255" s="4" t="s">
        <v>82</v>
      </c>
      <c r="F255" s="4" t="s">
        <v>83</v>
      </c>
      <c r="G255" s="4" t="s">
        <v>84</v>
      </c>
      <c r="H255" s="4" t="s">
        <v>197</v>
      </c>
      <c r="I255" s="3">
        <v>3</v>
      </c>
      <c r="J255" s="5">
        <v>43862.96</v>
      </c>
      <c r="K255" s="5">
        <v>30</v>
      </c>
      <c r="L255" s="5">
        <v>30704.07</v>
      </c>
      <c r="M255" s="5">
        <v>92112.21</v>
      </c>
      <c r="N255" s="5">
        <v>44012.07</v>
      </c>
      <c r="O255" s="5">
        <v>48100.14</v>
      </c>
      <c r="P255" s="24">
        <v>52.22</v>
      </c>
      <c r="Q255" s="6">
        <v>45143</v>
      </c>
      <c r="R255" s="6">
        <v>45153</v>
      </c>
      <c r="S255" s="4" t="s">
        <v>66</v>
      </c>
      <c r="T255" s="4" t="s">
        <v>56</v>
      </c>
      <c r="U255" s="4" t="s">
        <v>67</v>
      </c>
      <c r="V255" s="4" t="s">
        <v>88</v>
      </c>
    </row>
    <row r="256" spans="1:22" ht="18" customHeight="1" x14ac:dyDescent="0.3">
      <c r="A256" s="25" t="s">
        <v>897</v>
      </c>
      <c r="B256" s="25" t="s">
        <v>898</v>
      </c>
      <c r="C256" s="26" t="s">
        <v>128</v>
      </c>
      <c r="D256" s="26" t="s">
        <v>7</v>
      </c>
      <c r="E256" s="26" t="s">
        <v>92</v>
      </c>
      <c r="F256" s="26" t="s">
        <v>93</v>
      </c>
      <c r="G256" s="26" t="s">
        <v>94</v>
      </c>
      <c r="H256" s="26" t="s">
        <v>291</v>
      </c>
      <c r="I256" s="25">
        <v>1</v>
      </c>
      <c r="J256" s="27">
        <v>35379.67</v>
      </c>
      <c r="K256" s="27">
        <v>25</v>
      </c>
      <c r="L256" s="27">
        <v>26534.75</v>
      </c>
      <c r="M256" s="27">
        <v>26534.75</v>
      </c>
      <c r="N256" s="27">
        <v>13083.46</v>
      </c>
      <c r="O256" s="27">
        <v>13451.29</v>
      </c>
      <c r="P256" s="28">
        <v>50.69</v>
      </c>
      <c r="Q256" s="29">
        <v>45454</v>
      </c>
      <c r="R256" s="29">
        <v>45461</v>
      </c>
      <c r="S256" s="26" t="s">
        <v>76</v>
      </c>
      <c r="T256" s="26" t="s">
        <v>56</v>
      </c>
      <c r="U256" s="26" t="s">
        <v>77</v>
      </c>
      <c r="V256" s="26" t="s">
        <v>96</v>
      </c>
    </row>
    <row r="257" spans="1:22" ht="18" customHeight="1" x14ac:dyDescent="0.3">
      <c r="A257" s="3" t="s">
        <v>899</v>
      </c>
      <c r="B257" s="3" t="s">
        <v>900</v>
      </c>
      <c r="C257" s="4" t="s">
        <v>901</v>
      </c>
      <c r="D257" s="4" t="s">
        <v>8</v>
      </c>
      <c r="E257" s="4" t="s">
        <v>100</v>
      </c>
      <c r="F257" s="4" t="s">
        <v>52</v>
      </c>
      <c r="G257" s="4" t="s">
        <v>53</v>
      </c>
      <c r="H257" s="4" t="s">
        <v>613</v>
      </c>
      <c r="I257" s="3">
        <v>7</v>
      </c>
      <c r="J257" s="5">
        <v>5501.36</v>
      </c>
      <c r="K257" s="5">
        <v>25</v>
      </c>
      <c r="L257" s="5">
        <v>4126.0200000000004</v>
      </c>
      <c r="M257" s="5">
        <v>28882.14</v>
      </c>
      <c r="N257" s="5">
        <v>14328.09</v>
      </c>
      <c r="O257" s="5">
        <v>14554.05</v>
      </c>
      <c r="P257" s="24">
        <v>50.39</v>
      </c>
      <c r="Q257" s="6">
        <v>45167</v>
      </c>
      <c r="R257" s="6">
        <v>45169</v>
      </c>
      <c r="S257" s="4" t="s">
        <v>86</v>
      </c>
      <c r="T257" s="4" t="s">
        <v>56</v>
      </c>
      <c r="U257" s="4" t="s">
        <v>87</v>
      </c>
      <c r="V257" s="4" t="s">
        <v>103</v>
      </c>
    </row>
    <row r="258" spans="1:22" ht="18" customHeight="1" x14ac:dyDescent="0.3">
      <c r="A258" s="25" t="s">
        <v>902</v>
      </c>
      <c r="B258" s="25" t="s">
        <v>586</v>
      </c>
      <c r="C258" s="26" t="s">
        <v>903</v>
      </c>
      <c r="D258" s="26" t="s">
        <v>23</v>
      </c>
      <c r="E258" s="26" t="s">
        <v>107</v>
      </c>
      <c r="F258" s="26" t="s">
        <v>63</v>
      </c>
      <c r="G258" s="26" t="s">
        <v>64</v>
      </c>
      <c r="H258" s="26" t="s">
        <v>451</v>
      </c>
      <c r="I258" s="25">
        <v>3</v>
      </c>
      <c r="J258" s="27">
        <v>7139.28</v>
      </c>
      <c r="K258" s="27">
        <v>15</v>
      </c>
      <c r="L258" s="27">
        <v>6068.39</v>
      </c>
      <c r="M258" s="27">
        <v>18205.169999999998</v>
      </c>
      <c r="N258" s="27">
        <v>10710.39</v>
      </c>
      <c r="O258" s="27">
        <v>7494.78</v>
      </c>
      <c r="P258" s="28">
        <v>41.17</v>
      </c>
      <c r="Q258" s="29">
        <v>45007</v>
      </c>
      <c r="R258" s="29">
        <v>45008</v>
      </c>
      <c r="S258" s="26" t="s">
        <v>55</v>
      </c>
      <c r="T258" s="26" t="s">
        <v>56</v>
      </c>
      <c r="U258" s="26" t="s">
        <v>57</v>
      </c>
      <c r="V258" s="26" t="s">
        <v>109</v>
      </c>
    </row>
    <row r="259" spans="1:22" ht="18" customHeight="1" x14ac:dyDescent="0.3">
      <c r="A259" s="3" t="s">
        <v>904</v>
      </c>
      <c r="B259" s="3" t="s">
        <v>905</v>
      </c>
      <c r="C259" s="4" t="s">
        <v>906</v>
      </c>
      <c r="D259" s="4" t="s">
        <v>24</v>
      </c>
      <c r="E259" s="4" t="s">
        <v>113</v>
      </c>
      <c r="F259" s="4" t="s">
        <v>73</v>
      </c>
      <c r="G259" s="4" t="s">
        <v>74</v>
      </c>
      <c r="H259" s="4" t="s">
        <v>591</v>
      </c>
      <c r="I259" s="3">
        <v>2</v>
      </c>
      <c r="J259" s="5">
        <v>36024.22</v>
      </c>
      <c r="K259" s="5">
        <v>25</v>
      </c>
      <c r="L259" s="5">
        <v>27018.17</v>
      </c>
      <c r="M259" s="5">
        <v>54036.34</v>
      </c>
      <c r="N259" s="5">
        <v>37383.870000000003</v>
      </c>
      <c r="O259" s="5">
        <v>16652.47</v>
      </c>
      <c r="P259" s="24">
        <v>30.82</v>
      </c>
      <c r="Q259" s="6">
        <v>45432</v>
      </c>
      <c r="R259" s="6">
        <v>45437</v>
      </c>
      <c r="S259" s="4" t="s">
        <v>66</v>
      </c>
      <c r="T259" s="4" t="s">
        <v>56</v>
      </c>
      <c r="U259" s="4" t="s">
        <v>67</v>
      </c>
      <c r="V259" s="4" t="s">
        <v>115</v>
      </c>
    </row>
    <row r="260" spans="1:22" ht="18" customHeight="1" x14ac:dyDescent="0.3">
      <c r="A260" s="25" t="s">
        <v>907</v>
      </c>
      <c r="B260" s="25" t="s">
        <v>908</v>
      </c>
      <c r="C260" s="26" t="s">
        <v>909</v>
      </c>
      <c r="D260" s="26" t="s">
        <v>25</v>
      </c>
      <c r="E260" s="26" t="s">
        <v>107</v>
      </c>
      <c r="F260" s="26" t="s">
        <v>83</v>
      </c>
      <c r="G260" s="26" t="s">
        <v>84</v>
      </c>
      <c r="H260" s="26" t="s">
        <v>141</v>
      </c>
      <c r="I260" s="25">
        <v>9</v>
      </c>
      <c r="J260" s="27">
        <v>41192.269999999997</v>
      </c>
      <c r="K260" s="27">
        <v>15</v>
      </c>
      <c r="L260" s="27">
        <v>35013.43</v>
      </c>
      <c r="M260" s="27">
        <v>315120.87</v>
      </c>
      <c r="N260" s="27">
        <v>166072.89000000001</v>
      </c>
      <c r="O260" s="27">
        <v>149047.98000000001</v>
      </c>
      <c r="P260" s="28">
        <v>47.3</v>
      </c>
      <c r="Q260" s="29">
        <v>45324</v>
      </c>
      <c r="R260" s="29">
        <v>45326</v>
      </c>
      <c r="S260" s="26" t="s">
        <v>76</v>
      </c>
      <c r="T260" s="26" t="s">
        <v>56</v>
      </c>
      <c r="U260" s="26" t="s">
        <v>77</v>
      </c>
      <c r="V260" s="26" t="s">
        <v>120</v>
      </c>
    </row>
    <row r="261" spans="1:22" ht="18" customHeight="1" x14ac:dyDescent="0.3">
      <c r="A261" s="3" t="s">
        <v>910</v>
      </c>
      <c r="B261" s="3" t="s">
        <v>659</v>
      </c>
      <c r="C261" s="4" t="s">
        <v>911</v>
      </c>
      <c r="D261" s="4" t="s">
        <v>9</v>
      </c>
      <c r="E261" s="4" t="s">
        <v>62</v>
      </c>
      <c r="F261" s="4" t="s">
        <v>93</v>
      </c>
      <c r="G261" s="4" t="s">
        <v>94</v>
      </c>
      <c r="H261" s="4" t="s">
        <v>124</v>
      </c>
      <c r="I261" s="3">
        <v>4</v>
      </c>
      <c r="J261" s="5">
        <v>33813.550000000003</v>
      </c>
      <c r="K261" s="5">
        <v>20</v>
      </c>
      <c r="L261" s="5">
        <v>27050.84</v>
      </c>
      <c r="M261" s="5">
        <v>108203.36</v>
      </c>
      <c r="N261" s="5">
        <v>70553.440000000002</v>
      </c>
      <c r="O261" s="5">
        <v>37649.919999999998</v>
      </c>
      <c r="P261" s="24">
        <v>34.799999999999997</v>
      </c>
      <c r="Q261" s="6">
        <v>45208</v>
      </c>
      <c r="R261" s="6">
        <v>45211</v>
      </c>
      <c r="S261" s="4" t="s">
        <v>86</v>
      </c>
      <c r="T261" s="4" t="s">
        <v>56</v>
      </c>
      <c r="U261" s="4" t="s">
        <v>87</v>
      </c>
      <c r="V261" s="4" t="s">
        <v>125</v>
      </c>
    </row>
    <row r="262" spans="1:22" ht="18" customHeight="1" x14ac:dyDescent="0.3">
      <c r="A262" s="25" t="s">
        <v>912</v>
      </c>
      <c r="B262" s="25" t="s">
        <v>913</v>
      </c>
      <c r="C262" s="26" t="s">
        <v>914</v>
      </c>
      <c r="D262" s="26" t="s">
        <v>3</v>
      </c>
      <c r="E262" s="26" t="s">
        <v>3</v>
      </c>
      <c r="F262" s="26" t="s">
        <v>52</v>
      </c>
      <c r="G262" s="26" t="s">
        <v>53</v>
      </c>
      <c r="H262" s="26" t="s">
        <v>260</v>
      </c>
      <c r="I262" s="25">
        <v>1</v>
      </c>
      <c r="J262" s="27">
        <v>17357.66</v>
      </c>
      <c r="K262" s="27">
        <v>25</v>
      </c>
      <c r="L262" s="27">
        <v>13018.24</v>
      </c>
      <c r="M262" s="27">
        <v>13018.24</v>
      </c>
      <c r="N262" s="27">
        <v>7648.25</v>
      </c>
      <c r="O262" s="27">
        <v>5369.99</v>
      </c>
      <c r="P262" s="28">
        <v>41.25</v>
      </c>
      <c r="Q262" s="29">
        <v>45271</v>
      </c>
      <c r="R262" s="29">
        <v>45277</v>
      </c>
      <c r="S262" s="26" t="s">
        <v>55</v>
      </c>
      <c r="T262" s="26" t="s">
        <v>56</v>
      </c>
      <c r="U262" s="26" t="s">
        <v>57</v>
      </c>
      <c r="V262" s="26" t="s">
        <v>58</v>
      </c>
    </row>
    <row r="263" spans="1:22" ht="18" customHeight="1" x14ac:dyDescent="0.3">
      <c r="A263" s="3" t="s">
        <v>915</v>
      </c>
      <c r="B263" s="3" t="s">
        <v>916</v>
      </c>
      <c r="C263" s="4" t="s">
        <v>917</v>
      </c>
      <c r="D263" s="4" t="s">
        <v>4</v>
      </c>
      <c r="E263" s="4" t="s">
        <v>62</v>
      </c>
      <c r="F263" s="4" t="s">
        <v>63</v>
      </c>
      <c r="G263" s="4" t="s">
        <v>64</v>
      </c>
      <c r="H263" s="4" t="s">
        <v>545</v>
      </c>
      <c r="I263" s="3">
        <v>9</v>
      </c>
      <c r="J263" s="5">
        <v>39327.629999999997</v>
      </c>
      <c r="K263" s="5">
        <v>5</v>
      </c>
      <c r="L263" s="5">
        <v>37361.25</v>
      </c>
      <c r="M263" s="5">
        <v>336251.25</v>
      </c>
      <c r="N263" s="5">
        <v>238369.83</v>
      </c>
      <c r="O263" s="5">
        <v>97881.42</v>
      </c>
      <c r="P263" s="24">
        <v>29.11</v>
      </c>
      <c r="Q263" s="6">
        <v>45614</v>
      </c>
      <c r="R263" s="6">
        <v>45622</v>
      </c>
      <c r="S263" s="4" t="s">
        <v>66</v>
      </c>
      <c r="T263" s="4" t="s">
        <v>56</v>
      </c>
      <c r="U263" s="4" t="s">
        <v>67</v>
      </c>
      <c r="V263" s="4" t="s">
        <v>68</v>
      </c>
    </row>
    <row r="264" spans="1:22" ht="18" customHeight="1" x14ac:dyDescent="0.3">
      <c r="A264" s="25" t="s">
        <v>918</v>
      </c>
      <c r="B264" s="25" t="s">
        <v>745</v>
      </c>
      <c r="C264" s="26" t="s">
        <v>919</v>
      </c>
      <c r="D264" s="26" t="s">
        <v>5</v>
      </c>
      <c r="E264" s="26" t="s">
        <v>72</v>
      </c>
      <c r="F264" s="26" t="s">
        <v>73</v>
      </c>
      <c r="G264" s="26" t="s">
        <v>74</v>
      </c>
      <c r="H264" s="26" t="s">
        <v>230</v>
      </c>
      <c r="I264" s="25">
        <v>1</v>
      </c>
      <c r="J264" s="27">
        <v>20283.82</v>
      </c>
      <c r="K264" s="27">
        <v>10</v>
      </c>
      <c r="L264" s="27">
        <v>18255.439999999999</v>
      </c>
      <c r="M264" s="27">
        <v>18255.439999999999</v>
      </c>
      <c r="N264" s="27">
        <v>9507.57</v>
      </c>
      <c r="O264" s="27">
        <v>8747.8700000000008</v>
      </c>
      <c r="P264" s="28">
        <v>47.92</v>
      </c>
      <c r="Q264" s="29">
        <v>45476</v>
      </c>
      <c r="R264" s="29">
        <v>45478</v>
      </c>
      <c r="S264" s="26" t="s">
        <v>76</v>
      </c>
      <c r="T264" s="26" t="s">
        <v>235</v>
      </c>
      <c r="U264" s="26" t="s">
        <v>77</v>
      </c>
      <c r="V264" s="26" t="s">
        <v>78</v>
      </c>
    </row>
    <row r="265" spans="1:22" ht="18" customHeight="1" x14ac:dyDescent="0.3">
      <c r="A265" s="3" t="s">
        <v>920</v>
      </c>
      <c r="B265" s="3" t="s">
        <v>921</v>
      </c>
      <c r="C265" s="4" t="s">
        <v>922</v>
      </c>
      <c r="D265" s="4" t="s">
        <v>6</v>
      </c>
      <c r="E265" s="4" t="s">
        <v>82</v>
      </c>
      <c r="F265" s="4" t="s">
        <v>83</v>
      </c>
      <c r="G265" s="4" t="s">
        <v>84</v>
      </c>
      <c r="H265" s="4" t="s">
        <v>439</v>
      </c>
      <c r="I265" s="3">
        <v>4</v>
      </c>
      <c r="J265" s="5">
        <v>3548.53</v>
      </c>
      <c r="K265" s="5">
        <v>0</v>
      </c>
      <c r="L265" s="5">
        <v>3548.53</v>
      </c>
      <c r="M265" s="5">
        <v>14194.12</v>
      </c>
      <c r="N265" s="5">
        <v>6415.71</v>
      </c>
      <c r="O265" s="5">
        <v>7778.41</v>
      </c>
      <c r="P265" s="24">
        <v>54.8</v>
      </c>
      <c r="Q265" s="6">
        <v>45425</v>
      </c>
      <c r="R265" s="6">
        <v>45433</v>
      </c>
      <c r="S265" s="4" t="s">
        <v>86</v>
      </c>
      <c r="T265" s="4" t="s">
        <v>56</v>
      </c>
      <c r="U265" s="4" t="s">
        <v>87</v>
      </c>
      <c r="V265" s="4" t="s">
        <v>88</v>
      </c>
    </row>
    <row r="266" spans="1:22" ht="18" customHeight="1" x14ac:dyDescent="0.3">
      <c r="A266" s="25" t="s">
        <v>923</v>
      </c>
      <c r="B266" s="25" t="s">
        <v>924</v>
      </c>
      <c r="C266" s="26" t="s">
        <v>925</v>
      </c>
      <c r="D266" s="26" t="s">
        <v>7</v>
      </c>
      <c r="E266" s="26" t="s">
        <v>92</v>
      </c>
      <c r="F266" s="26" t="s">
        <v>93</v>
      </c>
      <c r="G266" s="26" t="s">
        <v>94</v>
      </c>
      <c r="H266" s="26" t="s">
        <v>145</v>
      </c>
      <c r="I266" s="25">
        <v>6</v>
      </c>
      <c r="J266" s="27">
        <v>34629.279999999999</v>
      </c>
      <c r="K266" s="27">
        <v>25</v>
      </c>
      <c r="L266" s="27">
        <v>25971.96</v>
      </c>
      <c r="M266" s="27">
        <v>155831.76</v>
      </c>
      <c r="N266" s="27">
        <v>94981.16</v>
      </c>
      <c r="O266" s="27">
        <v>60850.6</v>
      </c>
      <c r="P266" s="28">
        <v>39.049999999999997</v>
      </c>
      <c r="Q266" s="29">
        <v>45278</v>
      </c>
      <c r="R266" s="29">
        <v>45280</v>
      </c>
      <c r="S266" s="26" t="s">
        <v>55</v>
      </c>
      <c r="T266" s="26" t="s">
        <v>56</v>
      </c>
      <c r="U266" s="26" t="s">
        <v>57</v>
      </c>
      <c r="V266" s="26" t="s">
        <v>96</v>
      </c>
    </row>
    <row r="267" spans="1:22" ht="18" customHeight="1" x14ac:dyDescent="0.3">
      <c r="A267" s="3" t="s">
        <v>926</v>
      </c>
      <c r="B267" s="3" t="s">
        <v>927</v>
      </c>
      <c r="C267" s="4" t="s">
        <v>928</v>
      </c>
      <c r="D267" s="4" t="s">
        <v>8</v>
      </c>
      <c r="E267" s="4" t="s">
        <v>100</v>
      </c>
      <c r="F267" s="4" t="s">
        <v>52</v>
      </c>
      <c r="G267" s="4" t="s">
        <v>53</v>
      </c>
      <c r="H267" s="4" t="s">
        <v>129</v>
      </c>
      <c r="I267" s="3">
        <v>6</v>
      </c>
      <c r="J267" s="5">
        <v>3286.92</v>
      </c>
      <c r="K267" s="5">
        <v>30</v>
      </c>
      <c r="L267" s="5">
        <v>2300.84</v>
      </c>
      <c r="M267" s="5">
        <v>13805.04</v>
      </c>
      <c r="N267" s="5">
        <v>7664.54</v>
      </c>
      <c r="O267" s="5">
        <v>6140.5</v>
      </c>
      <c r="P267" s="24">
        <v>44.48</v>
      </c>
      <c r="Q267" s="6">
        <v>45239</v>
      </c>
      <c r="R267" s="6">
        <v>45248</v>
      </c>
      <c r="S267" s="4" t="s">
        <v>66</v>
      </c>
      <c r="T267" s="4" t="s">
        <v>56</v>
      </c>
      <c r="U267" s="4" t="s">
        <v>67</v>
      </c>
      <c r="V267" s="4" t="s">
        <v>103</v>
      </c>
    </row>
    <row r="268" spans="1:22" ht="18" customHeight="1" x14ac:dyDescent="0.3">
      <c r="A268" s="25" t="s">
        <v>929</v>
      </c>
      <c r="B268" s="25" t="s">
        <v>930</v>
      </c>
      <c r="C268" s="26" t="s">
        <v>931</v>
      </c>
      <c r="D268" s="26" t="s">
        <v>23</v>
      </c>
      <c r="E268" s="26" t="s">
        <v>107</v>
      </c>
      <c r="F268" s="26" t="s">
        <v>63</v>
      </c>
      <c r="G268" s="26" t="s">
        <v>64</v>
      </c>
      <c r="H268" s="26" t="s">
        <v>451</v>
      </c>
      <c r="I268" s="25">
        <v>2</v>
      </c>
      <c r="J268" s="27">
        <v>21407.39</v>
      </c>
      <c r="K268" s="27">
        <v>20</v>
      </c>
      <c r="L268" s="27">
        <v>17125.91</v>
      </c>
      <c r="M268" s="27">
        <v>34251.82</v>
      </c>
      <c r="N268" s="27">
        <v>19466.11</v>
      </c>
      <c r="O268" s="27">
        <v>14785.71</v>
      </c>
      <c r="P268" s="28">
        <v>43.17</v>
      </c>
      <c r="Q268" s="29">
        <v>45247</v>
      </c>
      <c r="R268" s="29">
        <v>45257</v>
      </c>
      <c r="S268" s="26" t="s">
        <v>76</v>
      </c>
      <c r="T268" s="26" t="s">
        <v>56</v>
      </c>
      <c r="U268" s="26" t="s">
        <v>77</v>
      </c>
      <c r="V268" s="26" t="s">
        <v>109</v>
      </c>
    </row>
    <row r="269" spans="1:22" ht="18" customHeight="1" x14ac:dyDescent="0.3">
      <c r="A269" s="3" t="s">
        <v>932</v>
      </c>
      <c r="B269" s="3" t="s">
        <v>933</v>
      </c>
      <c r="C269" s="4" t="s">
        <v>934</v>
      </c>
      <c r="D269" s="4" t="s">
        <v>24</v>
      </c>
      <c r="E269" s="4" t="s">
        <v>113</v>
      </c>
      <c r="F269" s="4" t="s">
        <v>73</v>
      </c>
      <c r="G269" s="4" t="s">
        <v>74</v>
      </c>
      <c r="H269" s="4" t="s">
        <v>211</v>
      </c>
      <c r="I269" s="3">
        <v>8</v>
      </c>
      <c r="J269" s="5">
        <v>4870.6899999999996</v>
      </c>
      <c r="K269" s="5">
        <v>30</v>
      </c>
      <c r="L269" s="5">
        <v>3409.48</v>
      </c>
      <c r="M269" s="5">
        <v>27275.84</v>
      </c>
      <c r="N269" s="5">
        <v>19127.79</v>
      </c>
      <c r="O269" s="5">
        <v>8148.05</v>
      </c>
      <c r="P269" s="24">
        <v>29.87</v>
      </c>
      <c r="Q269" s="6">
        <v>45511</v>
      </c>
      <c r="R269" s="6">
        <v>45518</v>
      </c>
      <c r="S269" s="4" t="s">
        <v>86</v>
      </c>
      <c r="T269" s="4" t="s">
        <v>56</v>
      </c>
      <c r="U269" s="4" t="s">
        <v>87</v>
      </c>
      <c r="V269" s="4" t="s">
        <v>115</v>
      </c>
    </row>
    <row r="270" spans="1:22" ht="18" customHeight="1" x14ac:dyDescent="0.3">
      <c r="A270" s="25" t="s">
        <v>935</v>
      </c>
      <c r="B270" s="25" t="s">
        <v>936</v>
      </c>
      <c r="C270" s="26" t="s">
        <v>937</v>
      </c>
      <c r="D270" s="26" t="s">
        <v>25</v>
      </c>
      <c r="E270" s="26" t="s">
        <v>107</v>
      </c>
      <c r="F270" s="26" t="s">
        <v>83</v>
      </c>
      <c r="G270" s="26" t="s">
        <v>84</v>
      </c>
      <c r="H270" s="26" t="s">
        <v>339</v>
      </c>
      <c r="I270" s="25">
        <v>6</v>
      </c>
      <c r="J270" s="27">
        <v>48308.14</v>
      </c>
      <c r="K270" s="27">
        <v>25</v>
      </c>
      <c r="L270" s="27">
        <v>36231.1</v>
      </c>
      <c r="M270" s="27">
        <v>217386.6</v>
      </c>
      <c r="N270" s="27">
        <v>122249.33</v>
      </c>
      <c r="O270" s="27">
        <v>95137.27</v>
      </c>
      <c r="P270" s="28">
        <v>43.76</v>
      </c>
      <c r="Q270" s="29">
        <v>45177</v>
      </c>
      <c r="R270" s="29">
        <v>45180</v>
      </c>
      <c r="S270" s="26" t="s">
        <v>55</v>
      </c>
      <c r="T270" s="26" t="s">
        <v>56</v>
      </c>
      <c r="U270" s="26" t="s">
        <v>57</v>
      </c>
      <c r="V270" s="26" t="s">
        <v>120</v>
      </c>
    </row>
    <row r="271" spans="1:22" ht="18" customHeight="1" x14ac:dyDescent="0.3">
      <c r="A271" s="3" t="s">
        <v>938</v>
      </c>
      <c r="B271" s="3" t="s">
        <v>939</v>
      </c>
      <c r="C271" s="4" t="s">
        <v>940</v>
      </c>
      <c r="D271" s="4" t="s">
        <v>9</v>
      </c>
      <c r="E271" s="4" t="s">
        <v>62</v>
      </c>
      <c r="F271" s="4" t="s">
        <v>93</v>
      </c>
      <c r="G271" s="4" t="s">
        <v>94</v>
      </c>
      <c r="H271" s="4" t="s">
        <v>509</v>
      </c>
      <c r="I271" s="3">
        <v>7</v>
      </c>
      <c r="J271" s="5">
        <v>26694.95</v>
      </c>
      <c r="K271" s="5">
        <v>5</v>
      </c>
      <c r="L271" s="5">
        <v>25360.2</v>
      </c>
      <c r="M271" s="5">
        <v>177521.4</v>
      </c>
      <c r="N271" s="5">
        <v>111029.17</v>
      </c>
      <c r="O271" s="5">
        <v>66492.23</v>
      </c>
      <c r="P271" s="24">
        <v>37.46</v>
      </c>
      <c r="Q271" s="6">
        <v>45537</v>
      </c>
      <c r="R271" s="6">
        <v>45547</v>
      </c>
      <c r="S271" s="4" t="s">
        <v>66</v>
      </c>
      <c r="T271" s="4" t="s">
        <v>56</v>
      </c>
      <c r="U271" s="4" t="s">
        <v>67</v>
      </c>
      <c r="V271" s="4" t="s">
        <v>125</v>
      </c>
    </row>
    <row r="272" spans="1:22" ht="18" customHeight="1" x14ac:dyDescent="0.3">
      <c r="A272" s="25" t="s">
        <v>941</v>
      </c>
      <c r="B272" s="25" t="s">
        <v>942</v>
      </c>
      <c r="C272" s="26" t="s">
        <v>943</v>
      </c>
      <c r="D272" s="26" t="s">
        <v>3</v>
      </c>
      <c r="E272" s="26" t="s">
        <v>3</v>
      </c>
      <c r="F272" s="26" t="s">
        <v>52</v>
      </c>
      <c r="G272" s="26" t="s">
        <v>53</v>
      </c>
      <c r="H272" s="26" t="s">
        <v>887</v>
      </c>
      <c r="I272" s="25">
        <v>1</v>
      </c>
      <c r="J272" s="27">
        <v>4476.01</v>
      </c>
      <c r="K272" s="27">
        <v>10</v>
      </c>
      <c r="L272" s="27">
        <v>4028.41</v>
      </c>
      <c r="M272" s="27">
        <v>4028.41</v>
      </c>
      <c r="N272" s="27">
        <v>2558.5500000000002</v>
      </c>
      <c r="O272" s="27">
        <v>1469.86</v>
      </c>
      <c r="P272" s="28">
        <v>36.49</v>
      </c>
      <c r="Q272" s="29">
        <v>45543</v>
      </c>
      <c r="R272" s="29">
        <v>45547</v>
      </c>
      <c r="S272" s="26" t="s">
        <v>76</v>
      </c>
      <c r="T272" s="26" t="s">
        <v>56</v>
      </c>
      <c r="U272" s="26" t="s">
        <v>77</v>
      </c>
      <c r="V272" s="26" t="s">
        <v>58</v>
      </c>
    </row>
    <row r="273" spans="1:22" ht="18" customHeight="1" x14ac:dyDescent="0.3">
      <c r="A273" s="3" t="s">
        <v>944</v>
      </c>
      <c r="B273" s="3" t="s">
        <v>945</v>
      </c>
      <c r="C273" s="4" t="s">
        <v>843</v>
      </c>
      <c r="D273" s="4" t="s">
        <v>4</v>
      </c>
      <c r="E273" s="4" t="s">
        <v>62</v>
      </c>
      <c r="F273" s="4" t="s">
        <v>63</v>
      </c>
      <c r="G273" s="4" t="s">
        <v>64</v>
      </c>
      <c r="H273" s="4" t="s">
        <v>690</v>
      </c>
      <c r="I273" s="3">
        <v>7</v>
      </c>
      <c r="J273" s="5">
        <v>6202.4</v>
      </c>
      <c r="K273" s="5">
        <v>10</v>
      </c>
      <c r="L273" s="5">
        <v>5582.16</v>
      </c>
      <c r="M273" s="5">
        <v>39075.120000000003</v>
      </c>
      <c r="N273" s="5">
        <v>22104.69</v>
      </c>
      <c r="O273" s="5">
        <v>16970.43</v>
      </c>
      <c r="P273" s="24">
        <v>43.43</v>
      </c>
      <c r="Q273" s="6">
        <v>45601</v>
      </c>
      <c r="R273" s="6">
        <v>45609</v>
      </c>
      <c r="S273" s="4" t="s">
        <v>86</v>
      </c>
      <c r="T273" s="4" t="s">
        <v>102</v>
      </c>
      <c r="U273" s="4" t="s">
        <v>87</v>
      </c>
      <c r="V273" s="4" t="s">
        <v>68</v>
      </c>
    </row>
    <row r="274" spans="1:22" ht="18" customHeight="1" x14ac:dyDescent="0.3">
      <c r="A274" s="25" t="s">
        <v>946</v>
      </c>
      <c r="B274" s="25" t="s">
        <v>947</v>
      </c>
      <c r="C274" s="26" t="s">
        <v>948</v>
      </c>
      <c r="D274" s="26" t="s">
        <v>5</v>
      </c>
      <c r="E274" s="26" t="s">
        <v>72</v>
      </c>
      <c r="F274" s="26" t="s">
        <v>73</v>
      </c>
      <c r="G274" s="26" t="s">
        <v>74</v>
      </c>
      <c r="H274" s="26" t="s">
        <v>175</v>
      </c>
      <c r="I274" s="25">
        <v>2</v>
      </c>
      <c r="J274" s="27">
        <v>19677.07</v>
      </c>
      <c r="K274" s="27">
        <v>5</v>
      </c>
      <c r="L274" s="27">
        <v>18693.22</v>
      </c>
      <c r="M274" s="27">
        <v>37386.44</v>
      </c>
      <c r="N274" s="27">
        <v>18561.490000000002</v>
      </c>
      <c r="O274" s="27">
        <v>18824.95</v>
      </c>
      <c r="P274" s="28">
        <v>50.35</v>
      </c>
      <c r="Q274" s="29">
        <v>45466</v>
      </c>
      <c r="R274" s="29">
        <v>45468</v>
      </c>
      <c r="S274" s="26" t="s">
        <v>55</v>
      </c>
      <c r="T274" s="26" t="s">
        <v>56</v>
      </c>
      <c r="U274" s="26" t="s">
        <v>57</v>
      </c>
      <c r="V274" s="26" t="s">
        <v>78</v>
      </c>
    </row>
    <row r="275" spans="1:22" ht="18" customHeight="1" x14ac:dyDescent="0.3">
      <c r="A275" s="3" t="s">
        <v>949</v>
      </c>
      <c r="B275" s="3" t="s">
        <v>950</v>
      </c>
      <c r="C275" s="4" t="s">
        <v>732</v>
      </c>
      <c r="D275" s="4" t="s">
        <v>6</v>
      </c>
      <c r="E275" s="4" t="s">
        <v>82</v>
      </c>
      <c r="F275" s="4" t="s">
        <v>83</v>
      </c>
      <c r="G275" s="4" t="s">
        <v>84</v>
      </c>
      <c r="H275" s="4" t="s">
        <v>234</v>
      </c>
      <c r="I275" s="3">
        <v>6</v>
      </c>
      <c r="J275" s="5">
        <v>12117.31</v>
      </c>
      <c r="K275" s="5">
        <v>5</v>
      </c>
      <c r="L275" s="5">
        <v>11511.44</v>
      </c>
      <c r="M275" s="5">
        <v>69068.639999999999</v>
      </c>
      <c r="N275" s="5">
        <v>47056.65</v>
      </c>
      <c r="O275" s="5">
        <v>22011.99</v>
      </c>
      <c r="P275" s="24">
        <v>31.87</v>
      </c>
      <c r="Q275" s="6">
        <v>45601</v>
      </c>
      <c r="R275" s="6">
        <v>45611</v>
      </c>
      <c r="S275" s="4" t="s">
        <v>66</v>
      </c>
      <c r="T275" s="4" t="s">
        <v>56</v>
      </c>
      <c r="U275" s="4" t="s">
        <v>67</v>
      </c>
      <c r="V275" s="4" t="s">
        <v>88</v>
      </c>
    </row>
    <row r="276" spans="1:22" ht="18" customHeight="1" x14ac:dyDescent="0.3">
      <c r="A276" s="25" t="s">
        <v>951</v>
      </c>
      <c r="B276" s="25" t="s">
        <v>952</v>
      </c>
      <c r="C276" s="26" t="s">
        <v>467</v>
      </c>
      <c r="D276" s="26" t="s">
        <v>7</v>
      </c>
      <c r="E276" s="26" t="s">
        <v>92</v>
      </c>
      <c r="F276" s="26" t="s">
        <v>93</v>
      </c>
      <c r="G276" s="26" t="s">
        <v>94</v>
      </c>
      <c r="H276" s="26" t="s">
        <v>393</v>
      </c>
      <c r="I276" s="25">
        <v>7</v>
      </c>
      <c r="J276" s="27">
        <v>18694.61</v>
      </c>
      <c r="K276" s="27">
        <v>0</v>
      </c>
      <c r="L276" s="27">
        <v>18694.61</v>
      </c>
      <c r="M276" s="27">
        <v>130862.27</v>
      </c>
      <c r="N276" s="27">
        <v>69314.649999999994</v>
      </c>
      <c r="O276" s="27">
        <v>61547.62</v>
      </c>
      <c r="P276" s="28">
        <v>47.03</v>
      </c>
      <c r="Q276" s="29">
        <v>44983</v>
      </c>
      <c r="R276" s="29">
        <v>44988</v>
      </c>
      <c r="S276" s="26" t="s">
        <v>76</v>
      </c>
      <c r="T276" s="26" t="s">
        <v>56</v>
      </c>
      <c r="U276" s="26" t="s">
        <v>77</v>
      </c>
      <c r="V276" s="26" t="s">
        <v>96</v>
      </c>
    </row>
    <row r="277" spans="1:22" ht="18" customHeight="1" x14ac:dyDescent="0.3">
      <c r="A277" s="3" t="s">
        <v>953</v>
      </c>
      <c r="B277" s="3" t="s">
        <v>954</v>
      </c>
      <c r="C277" s="4" t="s">
        <v>955</v>
      </c>
      <c r="D277" s="4" t="s">
        <v>8</v>
      </c>
      <c r="E277" s="4" t="s">
        <v>100</v>
      </c>
      <c r="F277" s="4" t="s">
        <v>52</v>
      </c>
      <c r="G277" s="4" t="s">
        <v>53</v>
      </c>
      <c r="H277" s="4" t="s">
        <v>956</v>
      </c>
      <c r="I277" s="3">
        <v>3</v>
      </c>
      <c r="J277" s="5">
        <v>13770.4</v>
      </c>
      <c r="K277" s="5">
        <v>20</v>
      </c>
      <c r="L277" s="5">
        <v>11016.32</v>
      </c>
      <c r="M277" s="5">
        <v>33048.959999999999</v>
      </c>
      <c r="N277" s="5">
        <v>20409.91</v>
      </c>
      <c r="O277" s="5">
        <v>12639.05</v>
      </c>
      <c r="P277" s="24">
        <v>38.24</v>
      </c>
      <c r="Q277" s="6">
        <v>45543</v>
      </c>
      <c r="R277" s="6">
        <v>45545</v>
      </c>
      <c r="S277" s="4" t="s">
        <v>86</v>
      </c>
      <c r="T277" s="4" t="s">
        <v>56</v>
      </c>
      <c r="U277" s="4" t="s">
        <v>87</v>
      </c>
      <c r="V277" s="4" t="s">
        <v>103</v>
      </c>
    </row>
    <row r="278" spans="1:22" ht="18" customHeight="1" x14ac:dyDescent="0.3">
      <c r="A278" s="25" t="s">
        <v>957</v>
      </c>
      <c r="B278" s="25" t="s">
        <v>958</v>
      </c>
      <c r="C278" s="26" t="s">
        <v>959</v>
      </c>
      <c r="D278" s="26" t="s">
        <v>23</v>
      </c>
      <c r="E278" s="26" t="s">
        <v>107</v>
      </c>
      <c r="F278" s="26" t="s">
        <v>63</v>
      </c>
      <c r="G278" s="26" t="s">
        <v>64</v>
      </c>
      <c r="H278" s="26" t="s">
        <v>707</v>
      </c>
      <c r="I278" s="25">
        <v>7</v>
      </c>
      <c r="J278" s="27">
        <v>33476.68</v>
      </c>
      <c r="K278" s="27">
        <v>10</v>
      </c>
      <c r="L278" s="27">
        <v>30129.01</v>
      </c>
      <c r="M278" s="27">
        <v>210903.07</v>
      </c>
      <c r="N278" s="27">
        <v>116358.22</v>
      </c>
      <c r="O278" s="27">
        <v>94544.85</v>
      </c>
      <c r="P278" s="28">
        <v>44.83</v>
      </c>
      <c r="Q278" s="29">
        <v>45120</v>
      </c>
      <c r="R278" s="29">
        <v>45122</v>
      </c>
      <c r="S278" s="26" t="s">
        <v>55</v>
      </c>
      <c r="T278" s="26" t="s">
        <v>56</v>
      </c>
      <c r="U278" s="26" t="s">
        <v>57</v>
      </c>
      <c r="V278" s="26" t="s">
        <v>109</v>
      </c>
    </row>
    <row r="279" spans="1:22" ht="18" customHeight="1" x14ac:dyDescent="0.3">
      <c r="A279" s="3" t="s">
        <v>960</v>
      </c>
      <c r="B279" s="3" t="s">
        <v>961</v>
      </c>
      <c r="C279" s="4" t="s">
        <v>531</v>
      </c>
      <c r="D279" s="4" t="s">
        <v>24</v>
      </c>
      <c r="E279" s="4" t="s">
        <v>113</v>
      </c>
      <c r="F279" s="4" t="s">
        <v>73</v>
      </c>
      <c r="G279" s="4" t="s">
        <v>74</v>
      </c>
      <c r="H279" s="4" t="s">
        <v>403</v>
      </c>
      <c r="I279" s="3">
        <v>6</v>
      </c>
      <c r="J279" s="5">
        <v>14920.13</v>
      </c>
      <c r="K279" s="5">
        <v>20</v>
      </c>
      <c r="L279" s="5">
        <v>11936.1</v>
      </c>
      <c r="M279" s="5">
        <v>71616.600000000006</v>
      </c>
      <c r="N279" s="5">
        <v>45447.13</v>
      </c>
      <c r="O279" s="5">
        <v>26169.47</v>
      </c>
      <c r="P279" s="24">
        <v>36.54</v>
      </c>
      <c r="Q279" s="6">
        <v>45434</v>
      </c>
      <c r="R279" s="6">
        <v>45440</v>
      </c>
      <c r="S279" s="4" t="s">
        <v>66</v>
      </c>
      <c r="T279" s="4" t="s">
        <v>56</v>
      </c>
      <c r="U279" s="4" t="s">
        <v>67</v>
      </c>
      <c r="V279" s="4" t="s">
        <v>115</v>
      </c>
    </row>
    <row r="280" spans="1:22" ht="18" customHeight="1" x14ac:dyDescent="0.3">
      <c r="A280" s="25" t="s">
        <v>962</v>
      </c>
      <c r="B280" s="25" t="s">
        <v>963</v>
      </c>
      <c r="C280" s="26" t="s">
        <v>726</v>
      </c>
      <c r="D280" s="26" t="s">
        <v>25</v>
      </c>
      <c r="E280" s="26" t="s">
        <v>107</v>
      </c>
      <c r="F280" s="26" t="s">
        <v>83</v>
      </c>
      <c r="G280" s="26" t="s">
        <v>84</v>
      </c>
      <c r="H280" s="26" t="s">
        <v>141</v>
      </c>
      <c r="I280" s="25">
        <v>5</v>
      </c>
      <c r="J280" s="27">
        <v>49729.67</v>
      </c>
      <c r="K280" s="27">
        <v>5</v>
      </c>
      <c r="L280" s="27">
        <v>47243.19</v>
      </c>
      <c r="M280" s="27">
        <v>236215.95</v>
      </c>
      <c r="N280" s="27">
        <v>134411.57999999999</v>
      </c>
      <c r="O280" s="27">
        <v>101804.37</v>
      </c>
      <c r="P280" s="28">
        <v>43.1</v>
      </c>
      <c r="Q280" s="29">
        <v>45504</v>
      </c>
      <c r="R280" s="29">
        <v>45514</v>
      </c>
      <c r="S280" s="26" t="s">
        <v>76</v>
      </c>
      <c r="T280" s="26" t="s">
        <v>56</v>
      </c>
      <c r="U280" s="26" t="s">
        <v>77</v>
      </c>
      <c r="V280" s="26" t="s">
        <v>120</v>
      </c>
    </row>
    <row r="281" spans="1:22" ht="18" customHeight="1" x14ac:dyDescent="0.3">
      <c r="A281" s="3" t="s">
        <v>964</v>
      </c>
      <c r="B281" s="3" t="s">
        <v>965</v>
      </c>
      <c r="C281" s="4" t="s">
        <v>966</v>
      </c>
      <c r="D281" s="4" t="s">
        <v>9</v>
      </c>
      <c r="E281" s="4" t="s">
        <v>62</v>
      </c>
      <c r="F281" s="4" t="s">
        <v>93</v>
      </c>
      <c r="G281" s="4" t="s">
        <v>94</v>
      </c>
      <c r="H281" s="4" t="s">
        <v>145</v>
      </c>
      <c r="I281" s="3">
        <v>9</v>
      </c>
      <c r="J281" s="5">
        <v>1537.11</v>
      </c>
      <c r="K281" s="5">
        <v>20</v>
      </c>
      <c r="L281" s="5">
        <v>1229.69</v>
      </c>
      <c r="M281" s="5">
        <v>11067.21</v>
      </c>
      <c r="N281" s="5">
        <v>5543.55</v>
      </c>
      <c r="O281" s="5">
        <v>5523.66</v>
      </c>
      <c r="P281" s="24">
        <v>49.91</v>
      </c>
      <c r="Q281" s="6">
        <v>45326</v>
      </c>
      <c r="R281" s="6">
        <v>45336</v>
      </c>
      <c r="S281" s="4" t="s">
        <v>86</v>
      </c>
      <c r="T281" s="4" t="s">
        <v>56</v>
      </c>
      <c r="U281" s="4" t="s">
        <v>87</v>
      </c>
      <c r="V281" s="4" t="s">
        <v>125</v>
      </c>
    </row>
    <row r="282" spans="1:22" ht="18" customHeight="1" x14ac:dyDescent="0.3">
      <c r="A282" s="25" t="s">
        <v>967</v>
      </c>
      <c r="B282" s="25" t="s">
        <v>968</v>
      </c>
      <c r="C282" s="26" t="s">
        <v>335</v>
      </c>
      <c r="D282" s="26" t="s">
        <v>3</v>
      </c>
      <c r="E282" s="26" t="s">
        <v>3</v>
      </c>
      <c r="F282" s="26" t="s">
        <v>52</v>
      </c>
      <c r="G282" s="26" t="s">
        <v>53</v>
      </c>
      <c r="H282" s="26" t="s">
        <v>149</v>
      </c>
      <c r="I282" s="25">
        <v>9</v>
      </c>
      <c r="J282" s="27">
        <v>30484.77</v>
      </c>
      <c r="K282" s="27">
        <v>0</v>
      </c>
      <c r="L282" s="27">
        <v>30484.77</v>
      </c>
      <c r="M282" s="27">
        <v>274362.93</v>
      </c>
      <c r="N282" s="27">
        <v>176219.49</v>
      </c>
      <c r="O282" s="27">
        <v>98143.44</v>
      </c>
      <c r="P282" s="28">
        <v>35.770000000000003</v>
      </c>
      <c r="Q282" s="29">
        <v>45282</v>
      </c>
      <c r="R282" s="29">
        <v>45288</v>
      </c>
      <c r="S282" s="26" t="s">
        <v>55</v>
      </c>
      <c r="T282" s="26" t="s">
        <v>235</v>
      </c>
      <c r="U282" s="26" t="s">
        <v>57</v>
      </c>
      <c r="V282" s="26" t="s">
        <v>58</v>
      </c>
    </row>
    <row r="283" spans="1:22" ht="18" customHeight="1" x14ac:dyDescent="0.3">
      <c r="A283" s="3" t="s">
        <v>969</v>
      </c>
      <c r="B283" s="3" t="s">
        <v>970</v>
      </c>
      <c r="C283" s="4" t="s">
        <v>971</v>
      </c>
      <c r="D283" s="4" t="s">
        <v>4</v>
      </c>
      <c r="E283" s="4" t="s">
        <v>62</v>
      </c>
      <c r="F283" s="4" t="s">
        <v>63</v>
      </c>
      <c r="G283" s="4" t="s">
        <v>64</v>
      </c>
      <c r="H283" s="4" t="s">
        <v>382</v>
      </c>
      <c r="I283" s="3">
        <v>1</v>
      </c>
      <c r="J283" s="5">
        <v>39700.9</v>
      </c>
      <c r="K283" s="5">
        <v>5</v>
      </c>
      <c r="L283" s="5">
        <v>37715.86</v>
      </c>
      <c r="M283" s="5">
        <v>37715.86</v>
      </c>
      <c r="N283" s="5">
        <v>26376.69</v>
      </c>
      <c r="O283" s="5">
        <v>11339.17</v>
      </c>
      <c r="P283" s="24">
        <v>30.06</v>
      </c>
      <c r="Q283" s="6">
        <v>45043</v>
      </c>
      <c r="R283" s="6">
        <v>45049</v>
      </c>
      <c r="S283" s="4" t="s">
        <v>66</v>
      </c>
      <c r="T283" s="4" t="s">
        <v>56</v>
      </c>
      <c r="U283" s="4" t="s">
        <v>67</v>
      </c>
      <c r="V283" s="4" t="s">
        <v>68</v>
      </c>
    </row>
    <row r="284" spans="1:22" ht="18" customHeight="1" x14ac:dyDescent="0.3">
      <c r="A284" s="25" t="s">
        <v>972</v>
      </c>
      <c r="B284" s="25" t="s">
        <v>973</v>
      </c>
      <c r="C284" s="26" t="s">
        <v>974</v>
      </c>
      <c r="D284" s="26" t="s">
        <v>5</v>
      </c>
      <c r="E284" s="26" t="s">
        <v>72</v>
      </c>
      <c r="F284" s="26" t="s">
        <v>73</v>
      </c>
      <c r="G284" s="26" t="s">
        <v>74</v>
      </c>
      <c r="H284" s="26" t="s">
        <v>420</v>
      </c>
      <c r="I284" s="25">
        <v>5</v>
      </c>
      <c r="J284" s="27">
        <v>34218.730000000003</v>
      </c>
      <c r="K284" s="27">
        <v>20</v>
      </c>
      <c r="L284" s="27">
        <v>27374.98</v>
      </c>
      <c r="M284" s="27">
        <v>136874.9</v>
      </c>
      <c r="N284" s="27">
        <v>100115.32</v>
      </c>
      <c r="O284" s="27">
        <v>36759.58</v>
      </c>
      <c r="P284" s="28">
        <v>26.86</v>
      </c>
      <c r="Q284" s="29">
        <v>45547</v>
      </c>
      <c r="R284" s="29">
        <v>45552</v>
      </c>
      <c r="S284" s="26" t="s">
        <v>76</v>
      </c>
      <c r="T284" s="26" t="s">
        <v>56</v>
      </c>
      <c r="U284" s="26" t="s">
        <v>77</v>
      </c>
      <c r="V284" s="26" t="s">
        <v>78</v>
      </c>
    </row>
    <row r="285" spans="1:22" ht="18" customHeight="1" x14ac:dyDescent="0.3">
      <c r="A285" s="3" t="s">
        <v>975</v>
      </c>
      <c r="B285" s="3" t="s">
        <v>976</v>
      </c>
      <c r="C285" s="4" t="s">
        <v>977</v>
      </c>
      <c r="D285" s="4" t="s">
        <v>6</v>
      </c>
      <c r="E285" s="4" t="s">
        <v>82</v>
      </c>
      <c r="F285" s="4" t="s">
        <v>83</v>
      </c>
      <c r="G285" s="4" t="s">
        <v>84</v>
      </c>
      <c r="H285" s="4" t="s">
        <v>304</v>
      </c>
      <c r="I285" s="3">
        <v>2</v>
      </c>
      <c r="J285" s="5">
        <v>7465.37</v>
      </c>
      <c r="K285" s="5">
        <v>0</v>
      </c>
      <c r="L285" s="5">
        <v>7465.37</v>
      </c>
      <c r="M285" s="5">
        <v>14930.74</v>
      </c>
      <c r="N285" s="5">
        <v>8898.5300000000007</v>
      </c>
      <c r="O285" s="5">
        <v>6032.21</v>
      </c>
      <c r="P285" s="24">
        <v>40.4</v>
      </c>
      <c r="Q285" s="6">
        <v>45513</v>
      </c>
      <c r="R285" s="6">
        <v>45523</v>
      </c>
      <c r="S285" s="4" t="s">
        <v>86</v>
      </c>
      <c r="T285" s="4" t="s">
        <v>56</v>
      </c>
      <c r="U285" s="4" t="s">
        <v>87</v>
      </c>
      <c r="V285" s="4" t="s">
        <v>88</v>
      </c>
    </row>
    <row r="286" spans="1:22" ht="18" customHeight="1" x14ac:dyDescent="0.3">
      <c r="A286" s="25" t="s">
        <v>978</v>
      </c>
      <c r="B286" s="25" t="s">
        <v>979</v>
      </c>
      <c r="C286" s="26" t="s">
        <v>980</v>
      </c>
      <c r="D286" s="26" t="s">
        <v>7</v>
      </c>
      <c r="E286" s="26" t="s">
        <v>92</v>
      </c>
      <c r="F286" s="26" t="s">
        <v>93</v>
      </c>
      <c r="G286" s="26" t="s">
        <v>94</v>
      </c>
      <c r="H286" s="26" t="s">
        <v>239</v>
      </c>
      <c r="I286" s="25">
        <v>7</v>
      </c>
      <c r="J286" s="27">
        <v>46632.44</v>
      </c>
      <c r="K286" s="27">
        <v>10</v>
      </c>
      <c r="L286" s="27">
        <v>41969.2</v>
      </c>
      <c r="M286" s="27">
        <v>293784.40000000002</v>
      </c>
      <c r="N286" s="27">
        <v>160940.94</v>
      </c>
      <c r="O286" s="27">
        <v>132843.46</v>
      </c>
      <c r="P286" s="28">
        <v>45.22</v>
      </c>
      <c r="Q286" s="29">
        <v>45340</v>
      </c>
      <c r="R286" s="29">
        <v>45346</v>
      </c>
      <c r="S286" s="26" t="s">
        <v>55</v>
      </c>
      <c r="T286" s="26" t="s">
        <v>56</v>
      </c>
      <c r="U286" s="26" t="s">
        <v>57</v>
      </c>
      <c r="V286" s="26" t="s">
        <v>96</v>
      </c>
    </row>
    <row r="287" spans="1:22" ht="18" customHeight="1" x14ac:dyDescent="0.3">
      <c r="A287" s="3" t="s">
        <v>981</v>
      </c>
      <c r="B287" s="3" t="s">
        <v>982</v>
      </c>
      <c r="C287" s="4" t="s">
        <v>983</v>
      </c>
      <c r="D287" s="4" t="s">
        <v>8</v>
      </c>
      <c r="E287" s="4" t="s">
        <v>100</v>
      </c>
      <c r="F287" s="4" t="s">
        <v>52</v>
      </c>
      <c r="G287" s="4" t="s">
        <v>53</v>
      </c>
      <c r="H287" s="4" t="s">
        <v>260</v>
      </c>
      <c r="I287" s="3">
        <v>9</v>
      </c>
      <c r="J287" s="5">
        <v>28111.13</v>
      </c>
      <c r="K287" s="5">
        <v>20</v>
      </c>
      <c r="L287" s="5">
        <v>22488.9</v>
      </c>
      <c r="M287" s="5">
        <v>202400.1</v>
      </c>
      <c r="N287" s="5">
        <v>135790.84</v>
      </c>
      <c r="O287" s="5">
        <v>66609.259999999995</v>
      </c>
      <c r="P287" s="24">
        <v>32.909999999999997</v>
      </c>
      <c r="Q287" s="6">
        <v>45047</v>
      </c>
      <c r="R287" s="6">
        <v>45050</v>
      </c>
      <c r="S287" s="4" t="s">
        <v>66</v>
      </c>
      <c r="T287" s="4" t="s">
        <v>56</v>
      </c>
      <c r="U287" s="4" t="s">
        <v>67</v>
      </c>
      <c r="V287" s="4" t="s">
        <v>103</v>
      </c>
    </row>
    <row r="288" spans="1:22" ht="18" customHeight="1" x14ac:dyDescent="0.3">
      <c r="A288" s="25" t="s">
        <v>984</v>
      </c>
      <c r="B288" s="25" t="s">
        <v>985</v>
      </c>
      <c r="C288" s="26" t="s">
        <v>986</v>
      </c>
      <c r="D288" s="26" t="s">
        <v>23</v>
      </c>
      <c r="E288" s="26" t="s">
        <v>107</v>
      </c>
      <c r="F288" s="26" t="s">
        <v>63</v>
      </c>
      <c r="G288" s="26" t="s">
        <v>64</v>
      </c>
      <c r="H288" s="26" t="s">
        <v>108</v>
      </c>
      <c r="I288" s="25">
        <v>6</v>
      </c>
      <c r="J288" s="27">
        <v>45600.65</v>
      </c>
      <c r="K288" s="27">
        <v>5</v>
      </c>
      <c r="L288" s="27">
        <v>43320.62</v>
      </c>
      <c r="M288" s="27">
        <v>259923.72</v>
      </c>
      <c r="N288" s="27">
        <v>170812.43</v>
      </c>
      <c r="O288" s="27">
        <v>89111.29</v>
      </c>
      <c r="P288" s="28">
        <v>34.28</v>
      </c>
      <c r="Q288" s="29">
        <v>45434</v>
      </c>
      <c r="R288" s="29">
        <v>45441</v>
      </c>
      <c r="S288" s="26" t="s">
        <v>76</v>
      </c>
      <c r="T288" s="26" t="s">
        <v>56</v>
      </c>
      <c r="U288" s="26" t="s">
        <v>77</v>
      </c>
      <c r="V288" s="26" t="s">
        <v>109</v>
      </c>
    </row>
    <row r="289" spans="1:22" ht="18" customHeight="1" x14ac:dyDescent="0.3">
      <c r="A289" s="3" t="s">
        <v>987</v>
      </c>
      <c r="B289" s="3" t="s">
        <v>988</v>
      </c>
      <c r="C289" s="4" t="s">
        <v>989</v>
      </c>
      <c r="D289" s="4" t="s">
        <v>24</v>
      </c>
      <c r="E289" s="4" t="s">
        <v>113</v>
      </c>
      <c r="F289" s="4" t="s">
        <v>73</v>
      </c>
      <c r="G289" s="4" t="s">
        <v>74</v>
      </c>
      <c r="H289" s="4" t="s">
        <v>471</v>
      </c>
      <c r="I289" s="3">
        <v>6</v>
      </c>
      <c r="J289" s="5">
        <v>8923.91</v>
      </c>
      <c r="K289" s="5">
        <v>5</v>
      </c>
      <c r="L289" s="5">
        <v>8477.7099999999991</v>
      </c>
      <c r="M289" s="5">
        <v>50866.26</v>
      </c>
      <c r="N289" s="5">
        <v>27772.95</v>
      </c>
      <c r="O289" s="5">
        <v>23093.31</v>
      </c>
      <c r="P289" s="24">
        <v>45.4</v>
      </c>
      <c r="Q289" s="6">
        <v>45330</v>
      </c>
      <c r="R289" s="6">
        <v>45334</v>
      </c>
      <c r="S289" s="4" t="s">
        <v>86</v>
      </c>
      <c r="T289" s="4" t="s">
        <v>56</v>
      </c>
      <c r="U289" s="4" t="s">
        <v>87</v>
      </c>
      <c r="V289" s="4" t="s">
        <v>115</v>
      </c>
    </row>
    <row r="290" spans="1:22" ht="18" customHeight="1" x14ac:dyDescent="0.3">
      <c r="A290" s="25" t="s">
        <v>990</v>
      </c>
      <c r="B290" s="25" t="s">
        <v>991</v>
      </c>
      <c r="C290" s="26" t="s">
        <v>992</v>
      </c>
      <c r="D290" s="26" t="s">
        <v>25</v>
      </c>
      <c r="E290" s="26" t="s">
        <v>107</v>
      </c>
      <c r="F290" s="26" t="s">
        <v>83</v>
      </c>
      <c r="G290" s="26" t="s">
        <v>84</v>
      </c>
      <c r="H290" s="26" t="s">
        <v>566</v>
      </c>
      <c r="I290" s="25">
        <v>8</v>
      </c>
      <c r="J290" s="27">
        <v>41219.86</v>
      </c>
      <c r="K290" s="27">
        <v>25</v>
      </c>
      <c r="L290" s="27">
        <v>30914.9</v>
      </c>
      <c r="M290" s="27">
        <v>247319.2</v>
      </c>
      <c r="N290" s="27">
        <v>180216.76</v>
      </c>
      <c r="O290" s="27">
        <v>67102.44</v>
      </c>
      <c r="P290" s="28">
        <v>27.13</v>
      </c>
      <c r="Q290" s="29">
        <v>45624</v>
      </c>
      <c r="R290" s="29">
        <v>45634</v>
      </c>
      <c r="S290" s="26" t="s">
        <v>55</v>
      </c>
      <c r="T290" s="26" t="s">
        <v>56</v>
      </c>
      <c r="U290" s="26" t="s">
        <v>57</v>
      </c>
      <c r="V290" s="26" t="s">
        <v>120</v>
      </c>
    </row>
    <row r="291" spans="1:22" ht="18" customHeight="1" x14ac:dyDescent="0.3">
      <c r="A291" s="3" t="s">
        <v>993</v>
      </c>
      <c r="B291" s="3" t="s">
        <v>994</v>
      </c>
      <c r="C291" s="4" t="s">
        <v>995</v>
      </c>
      <c r="D291" s="4" t="s">
        <v>9</v>
      </c>
      <c r="E291" s="4" t="s">
        <v>62</v>
      </c>
      <c r="F291" s="4" t="s">
        <v>93</v>
      </c>
      <c r="G291" s="4" t="s">
        <v>94</v>
      </c>
      <c r="H291" s="4" t="s">
        <v>239</v>
      </c>
      <c r="I291" s="3">
        <v>2</v>
      </c>
      <c r="J291" s="5">
        <v>36240.74</v>
      </c>
      <c r="K291" s="5">
        <v>0</v>
      </c>
      <c r="L291" s="5">
        <v>36240.74</v>
      </c>
      <c r="M291" s="5">
        <v>72481.48</v>
      </c>
      <c r="N291" s="5">
        <v>53773.29</v>
      </c>
      <c r="O291" s="5">
        <v>18708.189999999999</v>
      </c>
      <c r="P291" s="24">
        <v>25.81</v>
      </c>
      <c r="Q291" s="6">
        <v>45054</v>
      </c>
      <c r="R291" s="6">
        <v>45063</v>
      </c>
      <c r="S291" s="4" t="s">
        <v>66</v>
      </c>
      <c r="T291" s="4" t="s">
        <v>56</v>
      </c>
      <c r="U291" s="4" t="s">
        <v>67</v>
      </c>
      <c r="V291" s="4" t="s">
        <v>125</v>
      </c>
    </row>
    <row r="292" spans="1:22" ht="18" customHeight="1" x14ac:dyDescent="0.3">
      <c r="A292" s="25" t="s">
        <v>996</v>
      </c>
      <c r="B292" s="25" t="s">
        <v>997</v>
      </c>
      <c r="C292" s="26" t="s">
        <v>998</v>
      </c>
      <c r="D292" s="26" t="s">
        <v>3</v>
      </c>
      <c r="E292" s="26" t="s">
        <v>3</v>
      </c>
      <c r="F292" s="26" t="s">
        <v>52</v>
      </c>
      <c r="G292" s="26" t="s">
        <v>53</v>
      </c>
      <c r="H292" s="26" t="s">
        <v>312</v>
      </c>
      <c r="I292" s="25">
        <v>7</v>
      </c>
      <c r="J292" s="27">
        <v>20405.240000000002</v>
      </c>
      <c r="K292" s="27">
        <v>10</v>
      </c>
      <c r="L292" s="27">
        <v>18364.72</v>
      </c>
      <c r="M292" s="27">
        <v>128553.04</v>
      </c>
      <c r="N292" s="27">
        <v>68913.03</v>
      </c>
      <c r="O292" s="27">
        <v>59640.01</v>
      </c>
      <c r="P292" s="28">
        <v>46.39</v>
      </c>
      <c r="Q292" s="29">
        <v>45192</v>
      </c>
      <c r="R292" s="29">
        <v>45195</v>
      </c>
      <c r="S292" s="26" t="s">
        <v>76</v>
      </c>
      <c r="T292" s="26" t="s">
        <v>56</v>
      </c>
      <c r="U292" s="26" t="s">
        <v>77</v>
      </c>
      <c r="V292" s="26" t="s">
        <v>58</v>
      </c>
    </row>
    <row r="293" spans="1:22" ht="18" customHeight="1" x14ac:dyDescent="0.3">
      <c r="A293" s="3" t="s">
        <v>999</v>
      </c>
      <c r="B293" s="3" t="s">
        <v>997</v>
      </c>
      <c r="C293" s="4" t="s">
        <v>940</v>
      </c>
      <c r="D293" s="4" t="s">
        <v>4</v>
      </c>
      <c r="E293" s="4" t="s">
        <v>62</v>
      </c>
      <c r="F293" s="4" t="s">
        <v>63</v>
      </c>
      <c r="G293" s="4" t="s">
        <v>64</v>
      </c>
      <c r="H293" s="4" t="s">
        <v>545</v>
      </c>
      <c r="I293" s="3">
        <v>10</v>
      </c>
      <c r="J293" s="5">
        <v>47304.98</v>
      </c>
      <c r="K293" s="5">
        <v>5</v>
      </c>
      <c r="L293" s="5">
        <v>44939.73</v>
      </c>
      <c r="M293" s="5">
        <v>449397.3</v>
      </c>
      <c r="N293" s="5">
        <v>260677.16</v>
      </c>
      <c r="O293" s="5">
        <v>188720.14</v>
      </c>
      <c r="P293" s="24">
        <v>41.99</v>
      </c>
      <c r="Q293" s="6">
        <v>45537</v>
      </c>
      <c r="R293" s="6">
        <v>45539</v>
      </c>
      <c r="S293" s="4" t="s">
        <v>86</v>
      </c>
      <c r="T293" s="4" t="s">
        <v>56</v>
      </c>
      <c r="U293" s="4" t="s">
        <v>87</v>
      </c>
      <c r="V293" s="4" t="s">
        <v>68</v>
      </c>
    </row>
    <row r="294" spans="1:22" ht="18" customHeight="1" x14ac:dyDescent="0.3">
      <c r="A294" s="25" t="s">
        <v>1000</v>
      </c>
      <c r="B294" s="25" t="s">
        <v>1001</v>
      </c>
      <c r="C294" s="26" t="s">
        <v>1002</v>
      </c>
      <c r="D294" s="26" t="s">
        <v>5</v>
      </c>
      <c r="E294" s="26" t="s">
        <v>72</v>
      </c>
      <c r="F294" s="26" t="s">
        <v>73</v>
      </c>
      <c r="G294" s="26" t="s">
        <v>74</v>
      </c>
      <c r="H294" s="26" t="s">
        <v>796</v>
      </c>
      <c r="I294" s="25">
        <v>6</v>
      </c>
      <c r="J294" s="27">
        <v>2039.36</v>
      </c>
      <c r="K294" s="27">
        <v>15</v>
      </c>
      <c r="L294" s="27">
        <v>1733.46</v>
      </c>
      <c r="M294" s="27">
        <v>10400.76</v>
      </c>
      <c r="N294" s="27">
        <v>5688.92</v>
      </c>
      <c r="O294" s="27">
        <v>4711.84</v>
      </c>
      <c r="P294" s="28">
        <v>45.3</v>
      </c>
      <c r="Q294" s="29">
        <v>45494</v>
      </c>
      <c r="R294" s="29">
        <v>45497</v>
      </c>
      <c r="S294" s="26" t="s">
        <v>55</v>
      </c>
      <c r="T294" s="26" t="s">
        <v>56</v>
      </c>
      <c r="U294" s="26" t="s">
        <v>57</v>
      </c>
      <c r="V294" s="26" t="s">
        <v>78</v>
      </c>
    </row>
    <row r="295" spans="1:22" ht="18" customHeight="1" x14ac:dyDescent="0.3">
      <c r="A295" s="3" t="s">
        <v>1003</v>
      </c>
      <c r="B295" s="3" t="s">
        <v>1004</v>
      </c>
      <c r="C295" s="4" t="s">
        <v>1005</v>
      </c>
      <c r="D295" s="4" t="s">
        <v>6</v>
      </c>
      <c r="E295" s="4" t="s">
        <v>82</v>
      </c>
      <c r="F295" s="4" t="s">
        <v>83</v>
      </c>
      <c r="G295" s="4" t="s">
        <v>84</v>
      </c>
      <c r="H295" s="4" t="s">
        <v>160</v>
      </c>
      <c r="I295" s="3">
        <v>8</v>
      </c>
      <c r="J295" s="5">
        <v>25818</v>
      </c>
      <c r="K295" s="5">
        <v>15</v>
      </c>
      <c r="L295" s="5">
        <v>21945.3</v>
      </c>
      <c r="M295" s="5">
        <v>175562.4</v>
      </c>
      <c r="N295" s="5">
        <v>113791.1</v>
      </c>
      <c r="O295" s="5">
        <v>61771.3</v>
      </c>
      <c r="P295" s="24">
        <v>35.18</v>
      </c>
      <c r="Q295" s="6">
        <v>44958</v>
      </c>
      <c r="R295" s="6">
        <v>44962</v>
      </c>
      <c r="S295" s="4" t="s">
        <v>66</v>
      </c>
      <c r="T295" s="4" t="s">
        <v>56</v>
      </c>
      <c r="U295" s="4" t="s">
        <v>67</v>
      </c>
      <c r="V295" s="4" t="s">
        <v>88</v>
      </c>
    </row>
    <row r="296" spans="1:22" ht="18" customHeight="1" x14ac:dyDescent="0.3">
      <c r="A296" s="25" t="s">
        <v>1006</v>
      </c>
      <c r="B296" s="25" t="s">
        <v>1007</v>
      </c>
      <c r="C296" s="26" t="s">
        <v>1008</v>
      </c>
      <c r="D296" s="26" t="s">
        <v>7</v>
      </c>
      <c r="E296" s="26" t="s">
        <v>92</v>
      </c>
      <c r="F296" s="26" t="s">
        <v>93</v>
      </c>
      <c r="G296" s="26" t="s">
        <v>94</v>
      </c>
      <c r="H296" s="26" t="s">
        <v>374</v>
      </c>
      <c r="I296" s="25">
        <v>10</v>
      </c>
      <c r="J296" s="27">
        <v>10911.98</v>
      </c>
      <c r="K296" s="27">
        <v>25</v>
      </c>
      <c r="L296" s="27">
        <v>8183.98</v>
      </c>
      <c r="M296" s="27">
        <v>81839.8</v>
      </c>
      <c r="N296" s="27">
        <v>49610.55</v>
      </c>
      <c r="O296" s="27">
        <v>32229.25</v>
      </c>
      <c r="P296" s="28">
        <v>39.380000000000003</v>
      </c>
      <c r="Q296" s="29">
        <v>45406</v>
      </c>
      <c r="R296" s="29">
        <v>45415</v>
      </c>
      <c r="S296" s="26" t="s">
        <v>76</v>
      </c>
      <c r="T296" s="26" t="s">
        <v>56</v>
      </c>
      <c r="U296" s="26" t="s">
        <v>77</v>
      </c>
      <c r="V296" s="26" t="s">
        <v>96</v>
      </c>
    </row>
    <row r="297" spans="1:22" ht="18" customHeight="1" x14ac:dyDescent="0.3">
      <c r="A297" s="3" t="s">
        <v>1009</v>
      </c>
      <c r="B297" s="3" t="s">
        <v>1010</v>
      </c>
      <c r="C297" s="4" t="s">
        <v>1011</v>
      </c>
      <c r="D297" s="4" t="s">
        <v>8</v>
      </c>
      <c r="E297" s="4" t="s">
        <v>100</v>
      </c>
      <c r="F297" s="4" t="s">
        <v>52</v>
      </c>
      <c r="G297" s="4" t="s">
        <v>53</v>
      </c>
      <c r="H297" s="4" t="s">
        <v>447</v>
      </c>
      <c r="I297" s="3">
        <v>9</v>
      </c>
      <c r="J297" s="5">
        <v>39052.699999999997</v>
      </c>
      <c r="K297" s="5">
        <v>25</v>
      </c>
      <c r="L297" s="5">
        <v>29289.52</v>
      </c>
      <c r="M297" s="5">
        <v>263605.68</v>
      </c>
      <c r="N297" s="5">
        <v>138626.18</v>
      </c>
      <c r="O297" s="5">
        <v>124979.5</v>
      </c>
      <c r="P297" s="24">
        <v>47.41</v>
      </c>
      <c r="Q297" s="6">
        <v>44967</v>
      </c>
      <c r="R297" s="6">
        <v>44976</v>
      </c>
      <c r="S297" s="4" t="s">
        <v>86</v>
      </c>
      <c r="T297" s="4" t="s">
        <v>56</v>
      </c>
      <c r="U297" s="4" t="s">
        <v>87</v>
      </c>
      <c r="V297" s="4" t="s">
        <v>103</v>
      </c>
    </row>
    <row r="298" spans="1:22" ht="18" customHeight="1" x14ac:dyDescent="0.3">
      <c r="A298" s="25" t="s">
        <v>1012</v>
      </c>
      <c r="B298" s="25" t="s">
        <v>1013</v>
      </c>
      <c r="C298" s="26" t="s">
        <v>1014</v>
      </c>
      <c r="D298" s="26" t="s">
        <v>23</v>
      </c>
      <c r="E298" s="26" t="s">
        <v>107</v>
      </c>
      <c r="F298" s="26" t="s">
        <v>63</v>
      </c>
      <c r="G298" s="26" t="s">
        <v>64</v>
      </c>
      <c r="H298" s="26" t="s">
        <v>545</v>
      </c>
      <c r="I298" s="25">
        <v>3</v>
      </c>
      <c r="J298" s="27">
        <v>6526.78</v>
      </c>
      <c r="K298" s="27">
        <v>30</v>
      </c>
      <c r="L298" s="27">
        <v>4568.75</v>
      </c>
      <c r="M298" s="27">
        <v>13706.25</v>
      </c>
      <c r="N298" s="27">
        <v>6474.79</v>
      </c>
      <c r="O298" s="27">
        <v>7231.46</v>
      </c>
      <c r="P298" s="28">
        <v>52.76</v>
      </c>
      <c r="Q298" s="29">
        <v>45119</v>
      </c>
      <c r="R298" s="29">
        <v>45124</v>
      </c>
      <c r="S298" s="26" t="s">
        <v>55</v>
      </c>
      <c r="T298" s="26" t="s">
        <v>56</v>
      </c>
      <c r="U298" s="26" t="s">
        <v>57</v>
      </c>
      <c r="V298" s="26" t="s">
        <v>109</v>
      </c>
    </row>
    <row r="299" spans="1:22" ht="18" customHeight="1" x14ac:dyDescent="0.3">
      <c r="A299" s="3" t="s">
        <v>1015</v>
      </c>
      <c r="B299" s="3" t="s">
        <v>1016</v>
      </c>
      <c r="C299" s="4" t="s">
        <v>1017</v>
      </c>
      <c r="D299" s="4" t="s">
        <v>24</v>
      </c>
      <c r="E299" s="4" t="s">
        <v>113</v>
      </c>
      <c r="F299" s="4" t="s">
        <v>73</v>
      </c>
      <c r="G299" s="4" t="s">
        <v>74</v>
      </c>
      <c r="H299" s="4" t="s">
        <v>156</v>
      </c>
      <c r="I299" s="3">
        <v>4</v>
      </c>
      <c r="J299" s="5">
        <v>24576.51</v>
      </c>
      <c r="K299" s="5">
        <v>10</v>
      </c>
      <c r="L299" s="5">
        <v>22118.86</v>
      </c>
      <c r="M299" s="5">
        <v>88475.44</v>
      </c>
      <c r="N299" s="5">
        <v>43534.74</v>
      </c>
      <c r="O299" s="5">
        <v>44940.7</v>
      </c>
      <c r="P299" s="24">
        <v>50.79</v>
      </c>
      <c r="Q299" s="6">
        <v>45309</v>
      </c>
      <c r="R299" s="6">
        <v>45317</v>
      </c>
      <c r="S299" s="4" t="s">
        <v>66</v>
      </c>
      <c r="T299" s="4" t="s">
        <v>56</v>
      </c>
      <c r="U299" s="4" t="s">
        <v>67</v>
      </c>
      <c r="V299" s="4" t="s">
        <v>115</v>
      </c>
    </row>
    <row r="300" spans="1:22" ht="18" customHeight="1" x14ac:dyDescent="0.3">
      <c r="A300" s="25" t="s">
        <v>1018</v>
      </c>
      <c r="B300" s="25" t="s">
        <v>1019</v>
      </c>
      <c r="C300" s="26" t="s">
        <v>1020</v>
      </c>
      <c r="D300" s="26" t="s">
        <v>25</v>
      </c>
      <c r="E300" s="26" t="s">
        <v>107</v>
      </c>
      <c r="F300" s="26" t="s">
        <v>83</v>
      </c>
      <c r="G300" s="26" t="s">
        <v>84</v>
      </c>
      <c r="H300" s="26" t="s">
        <v>1021</v>
      </c>
      <c r="I300" s="25">
        <v>3</v>
      </c>
      <c r="J300" s="27">
        <v>28186.35</v>
      </c>
      <c r="K300" s="27">
        <v>20</v>
      </c>
      <c r="L300" s="27">
        <v>22549.08</v>
      </c>
      <c r="M300" s="27">
        <v>67647.240000000005</v>
      </c>
      <c r="N300" s="27">
        <v>41007.4</v>
      </c>
      <c r="O300" s="27">
        <v>26639.84</v>
      </c>
      <c r="P300" s="28">
        <v>39.380000000000003</v>
      </c>
      <c r="Q300" s="29">
        <v>45146</v>
      </c>
      <c r="R300" s="29">
        <v>45152</v>
      </c>
      <c r="S300" s="26" t="s">
        <v>76</v>
      </c>
      <c r="T300" s="26" t="s">
        <v>56</v>
      </c>
      <c r="U300" s="26" t="s">
        <v>77</v>
      </c>
      <c r="V300" s="26" t="s">
        <v>120</v>
      </c>
    </row>
    <row r="301" spans="1:22" ht="18" customHeight="1" x14ac:dyDescent="0.3">
      <c r="A301" s="3" t="s">
        <v>1022</v>
      </c>
      <c r="B301" s="3" t="s">
        <v>1023</v>
      </c>
      <c r="C301" s="4" t="s">
        <v>1024</v>
      </c>
      <c r="D301" s="4" t="s">
        <v>9</v>
      </c>
      <c r="E301" s="4" t="s">
        <v>62</v>
      </c>
      <c r="F301" s="4" t="s">
        <v>93</v>
      </c>
      <c r="G301" s="4" t="s">
        <v>94</v>
      </c>
      <c r="H301" s="4" t="s">
        <v>393</v>
      </c>
      <c r="I301" s="3">
        <v>3</v>
      </c>
      <c r="J301" s="5">
        <v>45955.9</v>
      </c>
      <c r="K301" s="5">
        <v>0</v>
      </c>
      <c r="L301" s="5">
        <v>45955.9</v>
      </c>
      <c r="M301" s="5">
        <v>137867.70000000001</v>
      </c>
      <c r="N301" s="5">
        <v>95992.14</v>
      </c>
      <c r="O301" s="5">
        <v>41875.56</v>
      </c>
      <c r="P301" s="24">
        <v>30.37</v>
      </c>
      <c r="Q301" s="6">
        <v>45174</v>
      </c>
      <c r="R301" s="6">
        <v>45179</v>
      </c>
      <c r="S301" s="4" t="s">
        <v>86</v>
      </c>
      <c r="T301" s="4" t="s">
        <v>56</v>
      </c>
      <c r="U301" s="4" t="s">
        <v>87</v>
      </c>
      <c r="V301" s="4" t="s">
        <v>125</v>
      </c>
    </row>
    <row r="302" spans="1:22" ht="18" customHeight="1" x14ac:dyDescent="0.3">
      <c r="A302" s="25" t="s">
        <v>1025</v>
      </c>
      <c r="B302" s="25" t="s">
        <v>1026</v>
      </c>
      <c r="C302" s="26" t="s">
        <v>1027</v>
      </c>
      <c r="D302" s="26" t="s">
        <v>3</v>
      </c>
      <c r="E302" s="26" t="s">
        <v>3</v>
      </c>
      <c r="F302" s="26" t="s">
        <v>52</v>
      </c>
      <c r="G302" s="26" t="s">
        <v>53</v>
      </c>
      <c r="H302" s="26" t="s">
        <v>447</v>
      </c>
      <c r="I302" s="25">
        <v>9</v>
      </c>
      <c r="J302" s="27">
        <v>211.63</v>
      </c>
      <c r="K302" s="27">
        <v>15</v>
      </c>
      <c r="L302" s="27">
        <v>179.89</v>
      </c>
      <c r="M302" s="27">
        <v>1619.01</v>
      </c>
      <c r="N302" s="27">
        <v>1139.75</v>
      </c>
      <c r="O302" s="27">
        <v>479.26</v>
      </c>
      <c r="P302" s="28">
        <v>29.6</v>
      </c>
      <c r="Q302" s="29">
        <v>45126</v>
      </c>
      <c r="R302" s="29">
        <v>45136</v>
      </c>
      <c r="S302" s="26" t="s">
        <v>55</v>
      </c>
      <c r="T302" s="26" t="s">
        <v>56</v>
      </c>
      <c r="U302" s="26" t="s">
        <v>57</v>
      </c>
      <c r="V302" s="26" t="s">
        <v>58</v>
      </c>
    </row>
    <row r="303" spans="1:22" ht="18" customHeight="1" x14ac:dyDescent="0.3">
      <c r="A303" s="3" t="s">
        <v>1028</v>
      </c>
      <c r="B303" s="3" t="s">
        <v>1029</v>
      </c>
      <c r="C303" s="4" t="s">
        <v>1030</v>
      </c>
      <c r="D303" s="4" t="s">
        <v>4</v>
      </c>
      <c r="E303" s="4" t="s">
        <v>62</v>
      </c>
      <c r="F303" s="4" t="s">
        <v>63</v>
      </c>
      <c r="G303" s="4" t="s">
        <v>64</v>
      </c>
      <c r="H303" s="4" t="s">
        <v>382</v>
      </c>
      <c r="I303" s="3">
        <v>6</v>
      </c>
      <c r="J303" s="5">
        <v>12138.61</v>
      </c>
      <c r="K303" s="5">
        <v>30</v>
      </c>
      <c r="L303" s="5">
        <v>8497.0300000000007</v>
      </c>
      <c r="M303" s="5">
        <v>50982.18</v>
      </c>
      <c r="N303" s="5">
        <v>31356.99</v>
      </c>
      <c r="O303" s="5">
        <v>19625.189999999999</v>
      </c>
      <c r="P303" s="24">
        <v>38.49</v>
      </c>
      <c r="Q303" s="6">
        <v>45234</v>
      </c>
      <c r="R303" s="6">
        <v>45240</v>
      </c>
      <c r="S303" s="4" t="s">
        <v>66</v>
      </c>
      <c r="T303" s="4" t="s">
        <v>56</v>
      </c>
      <c r="U303" s="4" t="s">
        <v>67</v>
      </c>
      <c r="V303" s="4" t="s">
        <v>68</v>
      </c>
    </row>
    <row r="304" spans="1:22" ht="18" customHeight="1" x14ac:dyDescent="0.3">
      <c r="A304" s="25" t="s">
        <v>1031</v>
      </c>
      <c r="B304" s="25" t="s">
        <v>1032</v>
      </c>
      <c r="C304" s="26" t="s">
        <v>1033</v>
      </c>
      <c r="D304" s="26" t="s">
        <v>5</v>
      </c>
      <c r="E304" s="26" t="s">
        <v>72</v>
      </c>
      <c r="F304" s="26" t="s">
        <v>73</v>
      </c>
      <c r="G304" s="26" t="s">
        <v>74</v>
      </c>
      <c r="H304" s="26" t="s">
        <v>386</v>
      </c>
      <c r="I304" s="25">
        <v>3</v>
      </c>
      <c r="J304" s="27">
        <v>19419.93</v>
      </c>
      <c r="K304" s="27">
        <v>30</v>
      </c>
      <c r="L304" s="27">
        <v>13593.95</v>
      </c>
      <c r="M304" s="27">
        <v>40781.85</v>
      </c>
      <c r="N304" s="27">
        <v>27089.81</v>
      </c>
      <c r="O304" s="27">
        <v>13692.04</v>
      </c>
      <c r="P304" s="28">
        <v>33.57</v>
      </c>
      <c r="Q304" s="29">
        <v>45577</v>
      </c>
      <c r="R304" s="29">
        <v>45583</v>
      </c>
      <c r="S304" s="26" t="s">
        <v>76</v>
      </c>
      <c r="T304" s="26" t="s">
        <v>56</v>
      </c>
      <c r="U304" s="26" t="s">
        <v>77</v>
      </c>
      <c r="V304" s="26" t="s">
        <v>78</v>
      </c>
    </row>
    <row r="305" spans="1:22" ht="18" customHeight="1" x14ac:dyDescent="0.3">
      <c r="A305" s="3" t="s">
        <v>1034</v>
      </c>
      <c r="B305" s="3" t="s">
        <v>1035</v>
      </c>
      <c r="C305" s="4" t="s">
        <v>966</v>
      </c>
      <c r="D305" s="4" t="s">
        <v>6</v>
      </c>
      <c r="E305" s="4" t="s">
        <v>82</v>
      </c>
      <c r="F305" s="4" t="s">
        <v>83</v>
      </c>
      <c r="G305" s="4" t="s">
        <v>84</v>
      </c>
      <c r="H305" s="4" t="s">
        <v>234</v>
      </c>
      <c r="I305" s="3">
        <v>4</v>
      </c>
      <c r="J305" s="5">
        <v>27459.31</v>
      </c>
      <c r="K305" s="5">
        <v>15</v>
      </c>
      <c r="L305" s="5">
        <v>23340.41</v>
      </c>
      <c r="M305" s="5">
        <v>93361.64</v>
      </c>
      <c r="N305" s="5">
        <v>59186.06</v>
      </c>
      <c r="O305" s="5">
        <v>34175.58</v>
      </c>
      <c r="P305" s="24">
        <v>36.61</v>
      </c>
      <c r="Q305" s="6">
        <v>45039</v>
      </c>
      <c r="R305" s="6">
        <v>45043</v>
      </c>
      <c r="S305" s="4" t="s">
        <v>86</v>
      </c>
      <c r="T305" s="4" t="s">
        <v>56</v>
      </c>
      <c r="U305" s="4" t="s">
        <v>87</v>
      </c>
      <c r="V305" s="4" t="s">
        <v>88</v>
      </c>
    </row>
    <row r="306" spans="1:22" ht="18" customHeight="1" x14ac:dyDescent="0.3">
      <c r="A306" s="25" t="s">
        <v>1036</v>
      </c>
      <c r="B306" s="25" t="s">
        <v>1037</v>
      </c>
      <c r="C306" s="26" t="s">
        <v>186</v>
      </c>
      <c r="D306" s="26" t="s">
        <v>7</v>
      </c>
      <c r="E306" s="26" t="s">
        <v>92</v>
      </c>
      <c r="F306" s="26" t="s">
        <v>93</v>
      </c>
      <c r="G306" s="26" t="s">
        <v>94</v>
      </c>
      <c r="H306" s="26" t="s">
        <v>374</v>
      </c>
      <c r="I306" s="25">
        <v>3</v>
      </c>
      <c r="J306" s="27">
        <v>44897.46</v>
      </c>
      <c r="K306" s="27">
        <v>15</v>
      </c>
      <c r="L306" s="27">
        <v>38162.839999999997</v>
      </c>
      <c r="M306" s="27">
        <v>114488.52</v>
      </c>
      <c r="N306" s="27">
        <v>71105.820000000007</v>
      </c>
      <c r="O306" s="27">
        <v>43382.7</v>
      </c>
      <c r="P306" s="28">
        <v>37.89</v>
      </c>
      <c r="Q306" s="29">
        <v>45312</v>
      </c>
      <c r="R306" s="29">
        <v>45320</v>
      </c>
      <c r="S306" s="26" t="s">
        <v>55</v>
      </c>
      <c r="T306" s="26" t="s">
        <v>56</v>
      </c>
      <c r="U306" s="26" t="s">
        <v>57</v>
      </c>
      <c r="V306" s="26" t="s">
        <v>96</v>
      </c>
    </row>
    <row r="307" spans="1:22" ht="18" customHeight="1" x14ac:dyDescent="0.3">
      <c r="A307" s="3" t="s">
        <v>1038</v>
      </c>
      <c r="B307" s="3" t="s">
        <v>779</v>
      </c>
      <c r="C307" s="4" t="s">
        <v>1039</v>
      </c>
      <c r="D307" s="4" t="s">
        <v>8</v>
      </c>
      <c r="E307" s="4" t="s">
        <v>100</v>
      </c>
      <c r="F307" s="4" t="s">
        <v>52</v>
      </c>
      <c r="G307" s="4" t="s">
        <v>53</v>
      </c>
      <c r="H307" s="4" t="s">
        <v>277</v>
      </c>
      <c r="I307" s="3">
        <v>9</v>
      </c>
      <c r="J307" s="5">
        <v>41235.919999999998</v>
      </c>
      <c r="K307" s="5">
        <v>0</v>
      </c>
      <c r="L307" s="5">
        <v>41235.919999999998</v>
      </c>
      <c r="M307" s="5">
        <v>371123.28</v>
      </c>
      <c r="N307" s="5">
        <v>255389.32</v>
      </c>
      <c r="O307" s="5">
        <v>115733.96</v>
      </c>
      <c r="P307" s="24">
        <v>31.18</v>
      </c>
      <c r="Q307" s="6">
        <v>45187</v>
      </c>
      <c r="R307" s="6">
        <v>45192</v>
      </c>
      <c r="S307" s="4" t="s">
        <v>66</v>
      </c>
      <c r="T307" s="4" t="s">
        <v>56</v>
      </c>
      <c r="U307" s="4" t="s">
        <v>67</v>
      </c>
      <c r="V307" s="4" t="s">
        <v>103</v>
      </c>
    </row>
    <row r="308" spans="1:22" ht="18" customHeight="1" x14ac:dyDescent="0.3">
      <c r="A308" s="25" t="s">
        <v>1040</v>
      </c>
      <c r="B308" s="25" t="s">
        <v>1041</v>
      </c>
      <c r="C308" s="26" t="s">
        <v>1042</v>
      </c>
      <c r="D308" s="26" t="s">
        <v>23</v>
      </c>
      <c r="E308" s="26" t="s">
        <v>107</v>
      </c>
      <c r="F308" s="26" t="s">
        <v>63</v>
      </c>
      <c r="G308" s="26" t="s">
        <v>64</v>
      </c>
      <c r="H308" s="26" t="s">
        <v>545</v>
      </c>
      <c r="I308" s="25">
        <v>3</v>
      </c>
      <c r="J308" s="27">
        <v>20771.23</v>
      </c>
      <c r="K308" s="27">
        <v>30</v>
      </c>
      <c r="L308" s="27">
        <v>14539.86</v>
      </c>
      <c r="M308" s="27">
        <v>43619.58</v>
      </c>
      <c r="N308" s="27">
        <v>29284.91</v>
      </c>
      <c r="O308" s="27">
        <v>14334.67</v>
      </c>
      <c r="P308" s="28">
        <v>32.86</v>
      </c>
      <c r="Q308" s="29">
        <v>45582</v>
      </c>
      <c r="R308" s="29">
        <v>45584</v>
      </c>
      <c r="S308" s="26" t="s">
        <v>76</v>
      </c>
      <c r="T308" s="26" t="s">
        <v>56</v>
      </c>
      <c r="U308" s="26" t="s">
        <v>77</v>
      </c>
      <c r="V308" s="26" t="s">
        <v>109</v>
      </c>
    </row>
    <row r="309" spans="1:22" ht="18" customHeight="1" x14ac:dyDescent="0.3">
      <c r="A309" s="3" t="s">
        <v>1043</v>
      </c>
      <c r="B309" s="3" t="s">
        <v>1044</v>
      </c>
      <c r="C309" s="4" t="s">
        <v>1045</v>
      </c>
      <c r="D309" s="4" t="s">
        <v>24</v>
      </c>
      <c r="E309" s="4" t="s">
        <v>113</v>
      </c>
      <c r="F309" s="4" t="s">
        <v>73</v>
      </c>
      <c r="G309" s="4" t="s">
        <v>74</v>
      </c>
      <c r="H309" s="4" t="s">
        <v>796</v>
      </c>
      <c r="I309" s="3">
        <v>1</v>
      </c>
      <c r="J309" s="5">
        <v>1585.1</v>
      </c>
      <c r="K309" s="5">
        <v>30</v>
      </c>
      <c r="L309" s="5">
        <v>1109.57</v>
      </c>
      <c r="M309" s="5">
        <v>1109.57</v>
      </c>
      <c r="N309" s="5">
        <v>618.85</v>
      </c>
      <c r="O309" s="5">
        <v>490.72</v>
      </c>
      <c r="P309" s="24">
        <v>44.23</v>
      </c>
      <c r="Q309" s="6">
        <v>45362</v>
      </c>
      <c r="R309" s="6">
        <v>45368</v>
      </c>
      <c r="S309" s="4" t="s">
        <v>86</v>
      </c>
      <c r="T309" s="4" t="s">
        <v>56</v>
      </c>
      <c r="U309" s="4" t="s">
        <v>87</v>
      </c>
      <c r="V309" s="4" t="s">
        <v>115</v>
      </c>
    </row>
    <row r="310" spans="1:22" ht="18" customHeight="1" x14ac:dyDescent="0.3">
      <c r="A310" s="25" t="s">
        <v>1046</v>
      </c>
      <c r="B310" s="25" t="s">
        <v>1047</v>
      </c>
      <c r="C310" s="26" t="s">
        <v>989</v>
      </c>
      <c r="D310" s="26" t="s">
        <v>25</v>
      </c>
      <c r="E310" s="26" t="s">
        <v>107</v>
      </c>
      <c r="F310" s="26" t="s">
        <v>83</v>
      </c>
      <c r="G310" s="26" t="s">
        <v>84</v>
      </c>
      <c r="H310" s="26" t="s">
        <v>85</v>
      </c>
      <c r="I310" s="25">
        <v>4</v>
      </c>
      <c r="J310" s="27">
        <v>17475.990000000002</v>
      </c>
      <c r="K310" s="27">
        <v>0</v>
      </c>
      <c r="L310" s="27">
        <v>17475.990000000002</v>
      </c>
      <c r="M310" s="27">
        <v>69903.960000000006</v>
      </c>
      <c r="N310" s="27">
        <v>37066.050000000003</v>
      </c>
      <c r="O310" s="27">
        <v>32837.910000000003</v>
      </c>
      <c r="P310" s="28">
        <v>46.98</v>
      </c>
      <c r="Q310" s="29">
        <v>45373</v>
      </c>
      <c r="R310" s="29">
        <v>45383</v>
      </c>
      <c r="S310" s="26" t="s">
        <v>55</v>
      </c>
      <c r="T310" s="26" t="s">
        <v>56</v>
      </c>
      <c r="U310" s="26" t="s">
        <v>57</v>
      </c>
      <c r="V310" s="26" t="s">
        <v>120</v>
      </c>
    </row>
    <row r="311" spans="1:22" ht="18" customHeight="1" x14ac:dyDescent="0.3">
      <c r="A311" s="3" t="s">
        <v>1048</v>
      </c>
      <c r="B311" s="3" t="s">
        <v>1049</v>
      </c>
      <c r="C311" s="4" t="s">
        <v>1050</v>
      </c>
      <c r="D311" s="4" t="s">
        <v>9</v>
      </c>
      <c r="E311" s="4" t="s">
        <v>62</v>
      </c>
      <c r="F311" s="4" t="s">
        <v>93</v>
      </c>
      <c r="G311" s="4" t="s">
        <v>94</v>
      </c>
      <c r="H311" s="4" t="s">
        <v>1051</v>
      </c>
      <c r="I311" s="3">
        <v>4</v>
      </c>
      <c r="J311" s="5">
        <v>44753.41</v>
      </c>
      <c r="K311" s="5">
        <v>5</v>
      </c>
      <c r="L311" s="5">
        <v>42515.74</v>
      </c>
      <c r="M311" s="5">
        <v>170062.96</v>
      </c>
      <c r="N311" s="5">
        <v>98413.08</v>
      </c>
      <c r="O311" s="5">
        <v>71649.88</v>
      </c>
      <c r="P311" s="24">
        <v>42.13</v>
      </c>
      <c r="Q311" s="6">
        <v>45026</v>
      </c>
      <c r="R311" s="6">
        <v>45036</v>
      </c>
      <c r="S311" s="4" t="s">
        <v>66</v>
      </c>
      <c r="T311" s="4" t="s">
        <v>56</v>
      </c>
      <c r="U311" s="4" t="s">
        <v>67</v>
      </c>
      <c r="V311" s="4" t="s">
        <v>125</v>
      </c>
    </row>
    <row r="312" spans="1:22" ht="18" customHeight="1" x14ac:dyDescent="0.3">
      <c r="A312" s="25" t="s">
        <v>1052</v>
      </c>
      <c r="B312" s="25" t="s">
        <v>1053</v>
      </c>
      <c r="C312" s="26" t="s">
        <v>1054</v>
      </c>
      <c r="D312" s="26" t="s">
        <v>3</v>
      </c>
      <c r="E312" s="26" t="s">
        <v>3</v>
      </c>
      <c r="F312" s="26" t="s">
        <v>52</v>
      </c>
      <c r="G312" s="26" t="s">
        <v>53</v>
      </c>
      <c r="H312" s="26" t="s">
        <v>464</v>
      </c>
      <c r="I312" s="25">
        <v>1</v>
      </c>
      <c r="J312" s="27">
        <v>32402.42</v>
      </c>
      <c r="K312" s="27">
        <v>25</v>
      </c>
      <c r="L312" s="27">
        <v>24301.81</v>
      </c>
      <c r="M312" s="27">
        <v>24301.81</v>
      </c>
      <c r="N312" s="27">
        <v>13550.31</v>
      </c>
      <c r="O312" s="27">
        <v>10751.5</v>
      </c>
      <c r="P312" s="28">
        <v>44.24</v>
      </c>
      <c r="Q312" s="29">
        <v>45231</v>
      </c>
      <c r="R312" s="29">
        <v>45236</v>
      </c>
      <c r="S312" s="26" t="s">
        <v>76</v>
      </c>
      <c r="T312" s="26" t="s">
        <v>56</v>
      </c>
      <c r="U312" s="26" t="s">
        <v>77</v>
      </c>
      <c r="V312" s="26" t="s">
        <v>58</v>
      </c>
    </row>
    <row r="313" spans="1:22" ht="18" customHeight="1" x14ac:dyDescent="0.3">
      <c r="A313" s="3" t="s">
        <v>1055</v>
      </c>
      <c r="B313" s="3" t="s">
        <v>1056</v>
      </c>
      <c r="C313" s="4" t="s">
        <v>1057</v>
      </c>
      <c r="D313" s="4" t="s">
        <v>4</v>
      </c>
      <c r="E313" s="4" t="s">
        <v>62</v>
      </c>
      <c r="F313" s="4" t="s">
        <v>63</v>
      </c>
      <c r="G313" s="4" t="s">
        <v>64</v>
      </c>
      <c r="H313" s="4" t="s">
        <v>735</v>
      </c>
      <c r="I313" s="3">
        <v>7</v>
      </c>
      <c r="J313" s="5">
        <v>15143.46</v>
      </c>
      <c r="K313" s="5">
        <v>5</v>
      </c>
      <c r="L313" s="5">
        <v>14386.29</v>
      </c>
      <c r="M313" s="5">
        <v>100704.03</v>
      </c>
      <c r="N313" s="5">
        <v>73502.55</v>
      </c>
      <c r="O313" s="5">
        <v>27201.48</v>
      </c>
      <c r="P313" s="24">
        <v>27.01</v>
      </c>
      <c r="Q313" s="6">
        <v>45561</v>
      </c>
      <c r="R313" s="6">
        <v>45571</v>
      </c>
      <c r="S313" s="4" t="s">
        <v>86</v>
      </c>
      <c r="T313" s="4" t="s">
        <v>56</v>
      </c>
      <c r="U313" s="4" t="s">
        <v>87</v>
      </c>
      <c r="V313" s="4" t="s">
        <v>68</v>
      </c>
    </row>
    <row r="314" spans="1:22" ht="18" customHeight="1" x14ac:dyDescent="0.3">
      <c r="A314" s="25" t="s">
        <v>1058</v>
      </c>
      <c r="B314" s="25" t="s">
        <v>1059</v>
      </c>
      <c r="C314" s="26" t="s">
        <v>1060</v>
      </c>
      <c r="D314" s="26" t="s">
        <v>5</v>
      </c>
      <c r="E314" s="26" t="s">
        <v>72</v>
      </c>
      <c r="F314" s="26" t="s">
        <v>73</v>
      </c>
      <c r="G314" s="26" t="s">
        <v>74</v>
      </c>
      <c r="H314" s="26" t="s">
        <v>471</v>
      </c>
      <c r="I314" s="25">
        <v>7</v>
      </c>
      <c r="J314" s="27">
        <v>48085.34</v>
      </c>
      <c r="K314" s="27">
        <v>10</v>
      </c>
      <c r="L314" s="27">
        <v>43276.81</v>
      </c>
      <c r="M314" s="27">
        <v>302937.67</v>
      </c>
      <c r="N314" s="27">
        <v>176926.27</v>
      </c>
      <c r="O314" s="27">
        <v>126011.4</v>
      </c>
      <c r="P314" s="28">
        <v>41.6</v>
      </c>
      <c r="Q314" s="29">
        <v>45111</v>
      </c>
      <c r="R314" s="29">
        <v>45116</v>
      </c>
      <c r="S314" s="26" t="s">
        <v>55</v>
      </c>
      <c r="T314" s="26" t="s">
        <v>56</v>
      </c>
      <c r="U314" s="26" t="s">
        <v>57</v>
      </c>
      <c r="V314" s="26" t="s">
        <v>78</v>
      </c>
    </row>
    <row r="315" spans="1:22" ht="18" customHeight="1" x14ac:dyDescent="0.3">
      <c r="A315" s="3" t="s">
        <v>1061</v>
      </c>
      <c r="B315" s="3" t="s">
        <v>1062</v>
      </c>
      <c r="C315" s="4" t="s">
        <v>1063</v>
      </c>
      <c r="D315" s="4" t="s">
        <v>6</v>
      </c>
      <c r="E315" s="4" t="s">
        <v>82</v>
      </c>
      <c r="F315" s="4" t="s">
        <v>83</v>
      </c>
      <c r="G315" s="4" t="s">
        <v>84</v>
      </c>
      <c r="H315" s="4" t="s">
        <v>407</v>
      </c>
      <c r="I315" s="3">
        <v>6</v>
      </c>
      <c r="J315" s="5">
        <v>42761.13</v>
      </c>
      <c r="K315" s="5">
        <v>0</v>
      </c>
      <c r="L315" s="5">
        <v>42761.13</v>
      </c>
      <c r="M315" s="5">
        <v>256566.78</v>
      </c>
      <c r="N315" s="5">
        <v>183181.73</v>
      </c>
      <c r="O315" s="5">
        <v>73385.05</v>
      </c>
      <c r="P315" s="24">
        <v>28.6</v>
      </c>
      <c r="Q315" s="6">
        <v>45493</v>
      </c>
      <c r="R315" s="6">
        <v>45503</v>
      </c>
      <c r="S315" s="4" t="s">
        <v>66</v>
      </c>
      <c r="T315" s="4" t="s">
        <v>56</v>
      </c>
      <c r="U315" s="4" t="s">
        <v>67</v>
      </c>
      <c r="V315" s="4" t="s">
        <v>88</v>
      </c>
    </row>
    <row r="316" spans="1:22" ht="18" customHeight="1" x14ac:dyDescent="0.3">
      <c r="A316" s="25" t="s">
        <v>1064</v>
      </c>
      <c r="B316" s="25" t="s">
        <v>1065</v>
      </c>
      <c r="C316" s="26" t="s">
        <v>1066</v>
      </c>
      <c r="D316" s="26" t="s">
        <v>7</v>
      </c>
      <c r="E316" s="26" t="s">
        <v>92</v>
      </c>
      <c r="F316" s="26" t="s">
        <v>93</v>
      </c>
      <c r="G316" s="26" t="s">
        <v>94</v>
      </c>
      <c r="H316" s="26" t="s">
        <v>291</v>
      </c>
      <c r="I316" s="25">
        <v>10</v>
      </c>
      <c r="J316" s="27">
        <v>26307.3</v>
      </c>
      <c r="K316" s="27">
        <v>30</v>
      </c>
      <c r="L316" s="27">
        <v>18415.11</v>
      </c>
      <c r="M316" s="27">
        <v>184151.1</v>
      </c>
      <c r="N316" s="27">
        <v>114684.49</v>
      </c>
      <c r="O316" s="27">
        <v>69466.61</v>
      </c>
      <c r="P316" s="28">
        <v>37.72</v>
      </c>
      <c r="Q316" s="29">
        <v>45043</v>
      </c>
      <c r="R316" s="29">
        <v>45048</v>
      </c>
      <c r="S316" s="26" t="s">
        <v>76</v>
      </c>
      <c r="T316" s="26" t="s">
        <v>56</v>
      </c>
      <c r="U316" s="26" t="s">
        <v>77</v>
      </c>
      <c r="V316" s="26" t="s">
        <v>96</v>
      </c>
    </row>
    <row r="317" spans="1:22" ht="18" customHeight="1" x14ac:dyDescent="0.3">
      <c r="A317" s="3" t="s">
        <v>1067</v>
      </c>
      <c r="B317" s="3" t="s">
        <v>1068</v>
      </c>
      <c r="C317" s="4" t="s">
        <v>1069</v>
      </c>
      <c r="D317" s="4" t="s">
        <v>8</v>
      </c>
      <c r="E317" s="4" t="s">
        <v>100</v>
      </c>
      <c r="F317" s="4" t="s">
        <v>52</v>
      </c>
      <c r="G317" s="4" t="s">
        <v>53</v>
      </c>
      <c r="H317" s="4" t="s">
        <v>101</v>
      </c>
      <c r="I317" s="3">
        <v>1</v>
      </c>
      <c r="J317" s="5">
        <v>19281.27</v>
      </c>
      <c r="K317" s="5">
        <v>15</v>
      </c>
      <c r="L317" s="5">
        <v>16389.080000000002</v>
      </c>
      <c r="M317" s="5">
        <v>16389.080000000002</v>
      </c>
      <c r="N317" s="5">
        <v>8064.44</v>
      </c>
      <c r="O317" s="5">
        <v>8324.64</v>
      </c>
      <c r="P317" s="24">
        <v>50.79</v>
      </c>
      <c r="Q317" s="6">
        <v>45464</v>
      </c>
      <c r="R317" s="6">
        <v>45473</v>
      </c>
      <c r="S317" s="4" t="s">
        <v>86</v>
      </c>
      <c r="T317" s="4" t="s">
        <v>56</v>
      </c>
      <c r="U317" s="4" t="s">
        <v>87</v>
      </c>
      <c r="V317" s="4" t="s">
        <v>103</v>
      </c>
    </row>
    <row r="318" spans="1:22" ht="18" customHeight="1" x14ac:dyDescent="0.3">
      <c r="A318" s="25" t="s">
        <v>1070</v>
      </c>
      <c r="B318" s="25" t="s">
        <v>1071</v>
      </c>
      <c r="C318" s="26" t="s">
        <v>1072</v>
      </c>
      <c r="D318" s="26" t="s">
        <v>23</v>
      </c>
      <c r="E318" s="26" t="s">
        <v>107</v>
      </c>
      <c r="F318" s="26" t="s">
        <v>63</v>
      </c>
      <c r="G318" s="26" t="s">
        <v>64</v>
      </c>
      <c r="H318" s="26" t="s">
        <v>617</v>
      </c>
      <c r="I318" s="25">
        <v>3</v>
      </c>
      <c r="J318" s="27">
        <v>16211.28</v>
      </c>
      <c r="K318" s="27">
        <v>30</v>
      </c>
      <c r="L318" s="27">
        <v>11347.9</v>
      </c>
      <c r="M318" s="27">
        <v>34043.699999999997</v>
      </c>
      <c r="N318" s="27">
        <v>18831.599999999999</v>
      </c>
      <c r="O318" s="27">
        <v>15212.1</v>
      </c>
      <c r="P318" s="28">
        <v>44.68</v>
      </c>
      <c r="Q318" s="29">
        <v>45014</v>
      </c>
      <c r="R318" s="29">
        <v>45022</v>
      </c>
      <c r="S318" s="26" t="s">
        <v>55</v>
      </c>
      <c r="T318" s="26" t="s">
        <v>56</v>
      </c>
      <c r="U318" s="26" t="s">
        <v>57</v>
      </c>
      <c r="V318" s="26" t="s">
        <v>109</v>
      </c>
    </row>
    <row r="319" spans="1:22" ht="18" customHeight="1" x14ac:dyDescent="0.3">
      <c r="A319" s="3" t="s">
        <v>1073</v>
      </c>
      <c r="B319" s="3" t="s">
        <v>1074</v>
      </c>
      <c r="C319" s="4" t="s">
        <v>628</v>
      </c>
      <c r="D319" s="4" t="s">
        <v>24</v>
      </c>
      <c r="E319" s="4" t="s">
        <v>113</v>
      </c>
      <c r="F319" s="4" t="s">
        <v>73</v>
      </c>
      <c r="G319" s="4" t="s">
        <v>74</v>
      </c>
      <c r="H319" s="4" t="s">
        <v>577</v>
      </c>
      <c r="I319" s="3">
        <v>1</v>
      </c>
      <c r="J319" s="5">
        <v>16143.07</v>
      </c>
      <c r="K319" s="5">
        <v>10</v>
      </c>
      <c r="L319" s="5">
        <v>14528.76</v>
      </c>
      <c r="M319" s="5">
        <v>14528.76</v>
      </c>
      <c r="N319" s="5">
        <v>10328.799999999999</v>
      </c>
      <c r="O319" s="5">
        <v>4199.96</v>
      </c>
      <c r="P319" s="24">
        <v>28.91</v>
      </c>
      <c r="Q319" s="6">
        <v>44963</v>
      </c>
      <c r="R319" s="6">
        <v>44971</v>
      </c>
      <c r="S319" s="4" t="s">
        <v>66</v>
      </c>
      <c r="T319" s="4" t="s">
        <v>56</v>
      </c>
      <c r="U319" s="4" t="s">
        <v>67</v>
      </c>
      <c r="V319" s="4" t="s">
        <v>115</v>
      </c>
    </row>
    <row r="320" spans="1:22" ht="18" customHeight="1" x14ac:dyDescent="0.3">
      <c r="A320" s="25" t="s">
        <v>1075</v>
      </c>
      <c r="B320" s="25" t="s">
        <v>1076</v>
      </c>
      <c r="C320" s="26" t="s">
        <v>1077</v>
      </c>
      <c r="D320" s="26" t="s">
        <v>25</v>
      </c>
      <c r="E320" s="26" t="s">
        <v>107</v>
      </c>
      <c r="F320" s="26" t="s">
        <v>83</v>
      </c>
      <c r="G320" s="26" t="s">
        <v>84</v>
      </c>
      <c r="H320" s="26" t="s">
        <v>439</v>
      </c>
      <c r="I320" s="25">
        <v>3</v>
      </c>
      <c r="J320" s="27">
        <v>43132.83</v>
      </c>
      <c r="K320" s="27">
        <v>5</v>
      </c>
      <c r="L320" s="27">
        <v>40976.19</v>
      </c>
      <c r="M320" s="27">
        <v>122928.57</v>
      </c>
      <c r="N320" s="27">
        <v>87051.65</v>
      </c>
      <c r="O320" s="27">
        <v>35876.92</v>
      </c>
      <c r="P320" s="28">
        <v>29.19</v>
      </c>
      <c r="Q320" s="29">
        <v>45164</v>
      </c>
      <c r="R320" s="29">
        <v>45167</v>
      </c>
      <c r="S320" s="26" t="s">
        <v>76</v>
      </c>
      <c r="T320" s="26" t="s">
        <v>56</v>
      </c>
      <c r="U320" s="26" t="s">
        <v>77</v>
      </c>
      <c r="V320" s="26" t="s">
        <v>120</v>
      </c>
    </row>
    <row r="321" spans="1:22" ht="18" customHeight="1" x14ac:dyDescent="0.3">
      <c r="A321" s="3" t="s">
        <v>1078</v>
      </c>
      <c r="B321" s="3" t="s">
        <v>1079</v>
      </c>
      <c r="C321" s="4" t="s">
        <v>148</v>
      </c>
      <c r="D321" s="4" t="s">
        <v>9</v>
      </c>
      <c r="E321" s="4" t="s">
        <v>62</v>
      </c>
      <c r="F321" s="4" t="s">
        <v>93</v>
      </c>
      <c r="G321" s="4" t="s">
        <v>94</v>
      </c>
      <c r="H321" s="4" t="s">
        <v>374</v>
      </c>
      <c r="I321" s="3">
        <v>2</v>
      </c>
      <c r="J321" s="5">
        <v>29843.3</v>
      </c>
      <c r="K321" s="5">
        <v>5</v>
      </c>
      <c r="L321" s="5">
        <v>28351.13</v>
      </c>
      <c r="M321" s="5">
        <v>56702.26</v>
      </c>
      <c r="N321" s="5">
        <v>40322.339999999997</v>
      </c>
      <c r="O321" s="5">
        <v>16379.92</v>
      </c>
      <c r="P321" s="24">
        <v>28.89</v>
      </c>
      <c r="Q321" s="6">
        <v>45427</v>
      </c>
      <c r="R321" s="6">
        <v>45436</v>
      </c>
      <c r="S321" s="4" t="s">
        <v>86</v>
      </c>
      <c r="T321" s="4" t="s">
        <v>56</v>
      </c>
      <c r="U321" s="4" t="s">
        <v>87</v>
      </c>
      <c r="V321" s="4" t="s">
        <v>125</v>
      </c>
    </row>
    <row r="322" spans="1:22" ht="18" customHeight="1" x14ac:dyDescent="0.3">
      <c r="A322" s="25" t="s">
        <v>1080</v>
      </c>
      <c r="B322" s="25" t="s">
        <v>1081</v>
      </c>
      <c r="C322" s="26" t="s">
        <v>1063</v>
      </c>
      <c r="D322" s="26" t="s">
        <v>3</v>
      </c>
      <c r="E322" s="26" t="s">
        <v>3</v>
      </c>
      <c r="F322" s="26" t="s">
        <v>52</v>
      </c>
      <c r="G322" s="26" t="s">
        <v>53</v>
      </c>
      <c r="H322" s="26" t="s">
        <v>101</v>
      </c>
      <c r="I322" s="25">
        <v>3</v>
      </c>
      <c r="J322" s="27">
        <v>47357.75</v>
      </c>
      <c r="K322" s="27">
        <v>15</v>
      </c>
      <c r="L322" s="27">
        <v>40254.089999999997</v>
      </c>
      <c r="M322" s="27">
        <v>120762.27</v>
      </c>
      <c r="N322" s="27">
        <v>62842.64</v>
      </c>
      <c r="O322" s="27">
        <v>57919.63</v>
      </c>
      <c r="P322" s="28">
        <v>47.96</v>
      </c>
      <c r="Q322" s="29">
        <v>45517</v>
      </c>
      <c r="R322" s="29">
        <v>45519</v>
      </c>
      <c r="S322" s="26" t="s">
        <v>55</v>
      </c>
      <c r="T322" s="26" t="s">
        <v>56</v>
      </c>
      <c r="U322" s="26" t="s">
        <v>57</v>
      </c>
      <c r="V322" s="26" t="s">
        <v>58</v>
      </c>
    </row>
    <row r="323" spans="1:22" ht="18" customHeight="1" x14ac:dyDescent="0.3">
      <c r="A323" s="3" t="s">
        <v>1082</v>
      </c>
      <c r="B323" s="3" t="s">
        <v>1083</v>
      </c>
      <c r="C323" s="4" t="s">
        <v>1084</v>
      </c>
      <c r="D323" s="4" t="s">
        <v>4</v>
      </c>
      <c r="E323" s="4" t="s">
        <v>62</v>
      </c>
      <c r="F323" s="4" t="s">
        <v>63</v>
      </c>
      <c r="G323" s="4" t="s">
        <v>64</v>
      </c>
      <c r="H323" s="4" t="s">
        <v>451</v>
      </c>
      <c r="I323" s="3">
        <v>6</v>
      </c>
      <c r="J323" s="5">
        <v>26285.5</v>
      </c>
      <c r="K323" s="5">
        <v>20</v>
      </c>
      <c r="L323" s="5">
        <v>21028.400000000001</v>
      </c>
      <c r="M323" s="5">
        <v>126170.4</v>
      </c>
      <c r="N323" s="5">
        <v>81217.83</v>
      </c>
      <c r="O323" s="5">
        <v>44952.57</v>
      </c>
      <c r="P323" s="24">
        <v>35.630000000000003</v>
      </c>
      <c r="Q323" s="6">
        <v>45485</v>
      </c>
      <c r="R323" s="6">
        <v>45495</v>
      </c>
      <c r="S323" s="4" t="s">
        <v>66</v>
      </c>
      <c r="T323" s="4" t="s">
        <v>56</v>
      </c>
      <c r="U323" s="4" t="s">
        <v>67</v>
      </c>
      <c r="V323" s="4" t="s">
        <v>68</v>
      </c>
    </row>
    <row r="324" spans="1:22" ht="18" customHeight="1" x14ac:dyDescent="0.3">
      <c r="A324" s="25" t="s">
        <v>1085</v>
      </c>
      <c r="B324" s="25" t="s">
        <v>1086</v>
      </c>
      <c r="C324" s="26" t="s">
        <v>606</v>
      </c>
      <c r="D324" s="26" t="s">
        <v>5</v>
      </c>
      <c r="E324" s="26" t="s">
        <v>72</v>
      </c>
      <c r="F324" s="26" t="s">
        <v>73</v>
      </c>
      <c r="G324" s="26" t="s">
        <v>74</v>
      </c>
      <c r="H324" s="26" t="s">
        <v>319</v>
      </c>
      <c r="I324" s="25">
        <v>10</v>
      </c>
      <c r="J324" s="27">
        <v>16221.72</v>
      </c>
      <c r="K324" s="27">
        <v>20</v>
      </c>
      <c r="L324" s="27">
        <v>12977.38</v>
      </c>
      <c r="M324" s="27">
        <v>129773.8</v>
      </c>
      <c r="N324" s="27">
        <v>61572.43</v>
      </c>
      <c r="O324" s="27">
        <v>68201.37</v>
      </c>
      <c r="P324" s="28">
        <v>52.55</v>
      </c>
      <c r="Q324" s="29">
        <v>45137</v>
      </c>
      <c r="R324" s="29">
        <v>45147</v>
      </c>
      <c r="S324" s="26" t="s">
        <v>76</v>
      </c>
      <c r="T324" s="26" t="s">
        <v>102</v>
      </c>
      <c r="U324" s="26" t="s">
        <v>77</v>
      </c>
      <c r="V324" s="26" t="s">
        <v>78</v>
      </c>
    </row>
    <row r="325" spans="1:22" ht="18" customHeight="1" x14ac:dyDescent="0.3">
      <c r="A325" s="3" t="s">
        <v>1087</v>
      </c>
      <c r="B325" s="3" t="s">
        <v>412</v>
      </c>
      <c r="C325" s="4" t="s">
        <v>1088</v>
      </c>
      <c r="D325" s="4" t="s">
        <v>6</v>
      </c>
      <c r="E325" s="4" t="s">
        <v>82</v>
      </c>
      <c r="F325" s="4" t="s">
        <v>83</v>
      </c>
      <c r="G325" s="4" t="s">
        <v>84</v>
      </c>
      <c r="H325" s="4" t="s">
        <v>491</v>
      </c>
      <c r="I325" s="3">
        <v>4</v>
      </c>
      <c r="J325" s="5">
        <v>47185.61</v>
      </c>
      <c r="K325" s="5">
        <v>20</v>
      </c>
      <c r="L325" s="5">
        <v>37748.49</v>
      </c>
      <c r="M325" s="5">
        <v>150993.96</v>
      </c>
      <c r="N325" s="5">
        <v>70560.37</v>
      </c>
      <c r="O325" s="5">
        <v>80433.59</v>
      </c>
      <c r="P325" s="24">
        <v>53.27</v>
      </c>
      <c r="Q325" s="6">
        <v>45505</v>
      </c>
      <c r="R325" s="6">
        <v>45513</v>
      </c>
      <c r="S325" s="4" t="s">
        <v>86</v>
      </c>
      <c r="T325" s="4" t="s">
        <v>102</v>
      </c>
      <c r="U325" s="4" t="s">
        <v>87</v>
      </c>
      <c r="V325" s="4" t="s">
        <v>88</v>
      </c>
    </row>
    <row r="326" spans="1:22" ht="18" customHeight="1" x14ac:dyDescent="0.3">
      <c r="A326" s="25" t="s">
        <v>1089</v>
      </c>
      <c r="B326" s="25" t="s">
        <v>1090</v>
      </c>
      <c r="C326" s="26" t="s">
        <v>200</v>
      </c>
      <c r="D326" s="26" t="s">
        <v>7</v>
      </c>
      <c r="E326" s="26" t="s">
        <v>92</v>
      </c>
      <c r="F326" s="26" t="s">
        <v>93</v>
      </c>
      <c r="G326" s="26" t="s">
        <v>94</v>
      </c>
      <c r="H326" s="26" t="s">
        <v>95</v>
      </c>
      <c r="I326" s="25">
        <v>10</v>
      </c>
      <c r="J326" s="27">
        <v>8793.16</v>
      </c>
      <c r="K326" s="27">
        <v>10</v>
      </c>
      <c r="L326" s="27">
        <v>7913.84</v>
      </c>
      <c r="M326" s="27">
        <v>79138.399999999994</v>
      </c>
      <c r="N326" s="27">
        <v>43556.79</v>
      </c>
      <c r="O326" s="27">
        <v>35581.61</v>
      </c>
      <c r="P326" s="28">
        <v>44.96</v>
      </c>
      <c r="Q326" s="29">
        <v>45035</v>
      </c>
      <c r="R326" s="29">
        <v>45041</v>
      </c>
      <c r="S326" s="26" t="s">
        <v>55</v>
      </c>
      <c r="T326" s="26" t="s">
        <v>56</v>
      </c>
      <c r="U326" s="26" t="s">
        <v>57</v>
      </c>
      <c r="V326" s="26" t="s">
        <v>96</v>
      </c>
    </row>
    <row r="327" spans="1:22" ht="18" customHeight="1" x14ac:dyDescent="0.3">
      <c r="A327" s="3" t="s">
        <v>1091</v>
      </c>
      <c r="B327" s="3" t="s">
        <v>1092</v>
      </c>
      <c r="C327" s="4" t="s">
        <v>1093</v>
      </c>
      <c r="D327" s="4" t="s">
        <v>8</v>
      </c>
      <c r="E327" s="4" t="s">
        <v>100</v>
      </c>
      <c r="F327" s="4" t="s">
        <v>52</v>
      </c>
      <c r="G327" s="4" t="s">
        <v>53</v>
      </c>
      <c r="H327" s="4" t="s">
        <v>312</v>
      </c>
      <c r="I327" s="3">
        <v>7</v>
      </c>
      <c r="J327" s="5">
        <v>30769.67</v>
      </c>
      <c r="K327" s="5">
        <v>0</v>
      </c>
      <c r="L327" s="5">
        <v>30769.67</v>
      </c>
      <c r="M327" s="5">
        <v>215387.69</v>
      </c>
      <c r="N327" s="5">
        <v>100560.59</v>
      </c>
      <c r="O327" s="5">
        <v>114827.1</v>
      </c>
      <c r="P327" s="24">
        <v>53.31</v>
      </c>
      <c r="Q327" s="6">
        <v>45352</v>
      </c>
      <c r="R327" s="6">
        <v>45353</v>
      </c>
      <c r="S327" s="4" t="s">
        <v>66</v>
      </c>
      <c r="T327" s="4" t="s">
        <v>56</v>
      </c>
      <c r="U327" s="4" t="s">
        <v>67</v>
      </c>
      <c r="V327" s="4" t="s">
        <v>103</v>
      </c>
    </row>
    <row r="328" spans="1:22" ht="18" customHeight="1" x14ac:dyDescent="0.3">
      <c r="A328" s="25" t="s">
        <v>1094</v>
      </c>
      <c r="B328" s="25" t="s">
        <v>341</v>
      </c>
      <c r="C328" s="26" t="s">
        <v>1095</v>
      </c>
      <c r="D328" s="26" t="s">
        <v>23</v>
      </c>
      <c r="E328" s="26" t="s">
        <v>107</v>
      </c>
      <c r="F328" s="26" t="s">
        <v>63</v>
      </c>
      <c r="G328" s="26" t="s">
        <v>64</v>
      </c>
      <c r="H328" s="26" t="s">
        <v>152</v>
      </c>
      <c r="I328" s="25">
        <v>8</v>
      </c>
      <c r="J328" s="27">
        <v>4142.21</v>
      </c>
      <c r="K328" s="27">
        <v>25</v>
      </c>
      <c r="L328" s="27">
        <v>3106.66</v>
      </c>
      <c r="M328" s="27">
        <v>24853.279999999999</v>
      </c>
      <c r="N328" s="27">
        <v>13832.61</v>
      </c>
      <c r="O328" s="27">
        <v>11020.67</v>
      </c>
      <c r="P328" s="28">
        <v>44.34</v>
      </c>
      <c r="Q328" s="29">
        <v>45378</v>
      </c>
      <c r="R328" s="29">
        <v>45379</v>
      </c>
      <c r="S328" s="26" t="s">
        <v>76</v>
      </c>
      <c r="T328" s="26" t="s">
        <v>56</v>
      </c>
      <c r="U328" s="26" t="s">
        <v>77</v>
      </c>
      <c r="V328" s="26" t="s">
        <v>109</v>
      </c>
    </row>
    <row r="329" spans="1:22" ht="18" customHeight="1" x14ac:dyDescent="0.3">
      <c r="A329" s="3" t="s">
        <v>1096</v>
      </c>
      <c r="B329" s="3" t="s">
        <v>1097</v>
      </c>
      <c r="C329" s="4" t="s">
        <v>1098</v>
      </c>
      <c r="D329" s="4" t="s">
        <v>24</v>
      </c>
      <c r="E329" s="4" t="s">
        <v>113</v>
      </c>
      <c r="F329" s="4" t="s">
        <v>73</v>
      </c>
      <c r="G329" s="4" t="s">
        <v>74</v>
      </c>
      <c r="H329" s="4" t="s">
        <v>175</v>
      </c>
      <c r="I329" s="3">
        <v>9</v>
      </c>
      <c r="J329" s="5">
        <v>14734.59</v>
      </c>
      <c r="K329" s="5">
        <v>10</v>
      </c>
      <c r="L329" s="5">
        <v>13261.13</v>
      </c>
      <c r="M329" s="5">
        <v>119350.17</v>
      </c>
      <c r="N329" s="5">
        <v>58238.8</v>
      </c>
      <c r="O329" s="5">
        <v>61111.37</v>
      </c>
      <c r="P329" s="24">
        <v>51.2</v>
      </c>
      <c r="Q329" s="6">
        <v>45597</v>
      </c>
      <c r="R329" s="6">
        <v>45600</v>
      </c>
      <c r="S329" s="4" t="s">
        <v>86</v>
      </c>
      <c r="T329" s="4" t="s">
        <v>56</v>
      </c>
      <c r="U329" s="4" t="s">
        <v>87</v>
      </c>
      <c r="V329" s="4" t="s">
        <v>115</v>
      </c>
    </row>
    <row r="330" spans="1:22" ht="18" customHeight="1" x14ac:dyDescent="0.3">
      <c r="A330" s="25" t="s">
        <v>1099</v>
      </c>
      <c r="B330" s="25" t="s">
        <v>1100</v>
      </c>
      <c r="C330" s="26" t="s">
        <v>1101</v>
      </c>
      <c r="D330" s="26" t="s">
        <v>25</v>
      </c>
      <c r="E330" s="26" t="s">
        <v>107</v>
      </c>
      <c r="F330" s="26" t="s">
        <v>83</v>
      </c>
      <c r="G330" s="26" t="s">
        <v>84</v>
      </c>
      <c r="H330" s="26" t="s">
        <v>304</v>
      </c>
      <c r="I330" s="25">
        <v>7</v>
      </c>
      <c r="J330" s="27">
        <v>39448.82</v>
      </c>
      <c r="K330" s="27">
        <v>20</v>
      </c>
      <c r="L330" s="27">
        <v>31559.06</v>
      </c>
      <c r="M330" s="27">
        <v>220913.42</v>
      </c>
      <c r="N330" s="27">
        <v>120886.43</v>
      </c>
      <c r="O330" s="27">
        <v>100026.99</v>
      </c>
      <c r="P330" s="28">
        <v>45.28</v>
      </c>
      <c r="Q330" s="29">
        <v>45178</v>
      </c>
      <c r="R330" s="29">
        <v>45179</v>
      </c>
      <c r="S330" s="26" t="s">
        <v>55</v>
      </c>
      <c r="T330" s="26" t="s">
        <v>56</v>
      </c>
      <c r="U330" s="26" t="s">
        <v>57</v>
      </c>
      <c r="V330" s="26" t="s">
        <v>120</v>
      </c>
    </row>
    <row r="331" spans="1:22" ht="18" customHeight="1" x14ac:dyDescent="0.3">
      <c r="A331" s="3" t="s">
        <v>1102</v>
      </c>
      <c r="B331" s="3" t="s">
        <v>1001</v>
      </c>
      <c r="C331" s="4" t="s">
        <v>1103</v>
      </c>
      <c r="D331" s="4" t="s">
        <v>9</v>
      </c>
      <c r="E331" s="4" t="s">
        <v>62</v>
      </c>
      <c r="F331" s="4" t="s">
        <v>93</v>
      </c>
      <c r="G331" s="4" t="s">
        <v>94</v>
      </c>
      <c r="H331" s="4" t="s">
        <v>374</v>
      </c>
      <c r="I331" s="3">
        <v>6</v>
      </c>
      <c r="J331" s="5">
        <v>696.78</v>
      </c>
      <c r="K331" s="5">
        <v>30</v>
      </c>
      <c r="L331" s="5">
        <v>487.75</v>
      </c>
      <c r="M331" s="5">
        <v>2926.5</v>
      </c>
      <c r="N331" s="5">
        <v>1861.71</v>
      </c>
      <c r="O331" s="5">
        <v>1064.79</v>
      </c>
      <c r="P331" s="24">
        <v>36.380000000000003</v>
      </c>
      <c r="Q331" s="6">
        <v>44958</v>
      </c>
      <c r="R331" s="6">
        <v>44968</v>
      </c>
      <c r="S331" s="4" t="s">
        <v>66</v>
      </c>
      <c r="T331" s="4" t="s">
        <v>56</v>
      </c>
      <c r="U331" s="4" t="s">
        <v>67</v>
      </c>
      <c r="V331" s="4" t="s">
        <v>125</v>
      </c>
    </row>
    <row r="332" spans="1:22" ht="18" customHeight="1" x14ac:dyDescent="0.3">
      <c r="A332" s="25" t="s">
        <v>1104</v>
      </c>
      <c r="B332" s="25" t="s">
        <v>1105</v>
      </c>
      <c r="C332" s="26" t="s">
        <v>1106</v>
      </c>
      <c r="D332" s="26" t="s">
        <v>3</v>
      </c>
      <c r="E332" s="26" t="s">
        <v>3</v>
      </c>
      <c r="F332" s="26" t="s">
        <v>52</v>
      </c>
      <c r="G332" s="26" t="s">
        <v>53</v>
      </c>
      <c r="H332" s="26" t="s">
        <v>447</v>
      </c>
      <c r="I332" s="25">
        <v>6</v>
      </c>
      <c r="J332" s="27">
        <v>44573.04</v>
      </c>
      <c r="K332" s="27">
        <v>25</v>
      </c>
      <c r="L332" s="27">
        <v>33429.78</v>
      </c>
      <c r="M332" s="27">
        <v>200578.68</v>
      </c>
      <c r="N332" s="27">
        <v>102273.16</v>
      </c>
      <c r="O332" s="27">
        <v>98305.52</v>
      </c>
      <c r="P332" s="28">
        <v>49.01</v>
      </c>
      <c r="Q332" s="29">
        <v>45197</v>
      </c>
      <c r="R332" s="29">
        <v>45207</v>
      </c>
      <c r="S332" s="26" t="s">
        <v>76</v>
      </c>
      <c r="T332" s="26" t="s">
        <v>56</v>
      </c>
      <c r="U332" s="26" t="s">
        <v>77</v>
      </c>
      <c r="V332" s="26" t="s">
        <v>58</v>
      </c>
    </row>
    <row r="333" spans="1:22" ht="18" customHeight="1" x14ac:dyDescent="0.3">
      <c r="A333" s="3" t="s">
        <v>1107</v>
      </c>
      <c r="B333" s="3" t="s">
        <v>1108</v>
      </c>
      <c r="C333" s="4" t="s">
        <v>214</v>
      </c>
      <c r="D333" s="4" t="s">
        <v>4</v>
      </c>
      <c r="E333" s="4" t="s">
        <v>62</v>
      </c>
      <c r="F333" s="4" t="s">
        <v>63</v>
      </c>
      <c r="G333" s="4" t="s">
        <v>64</v>
      </c>
      <c r="H333" s="4" t="s">
        <v>133</v>
      </c>
      <c r="I333" s="3">
        <v>1</v>
      </c>
      <c r="J333" s="5">
        <v>25604.9</v>
      </c>
      <c r="K333" s="5">
        <v>10</v>
      </c>
      <c r="L333" s="5">
        <v>23044.41</v>
      </c>
      <c r="M333" s="5">
        <v>23044.41</v>
      </c>
      <c r="N333" s="5">
        <v>15499.72</v>
      </c>
      <c r="O333" s="5">
        <v>7544.69</v>
      </c>
      <c r="P333" s="24">
        <v>32.74</v>
      </c>
      <c r="Q333" s="6">
        <v>45486</v>
      </c>
      <c r="R333" s="6">
        <v>45491</v>
      </c>
      <c r="S333" s="4" t="s">
        <v>86</v>
      </c>
      <c r="T333" s="4" t="s">
        <v>56</v>
      </c>
      <c r="U333" s="4" t="s">
        <v>87</v>
      </c>
      <c r="V333" s="4" t="s">
        <v>68</v>
      </c>
    </row>
    <row r="334" spans="1:22" ht="18" customHeight="1" x14ac:dyDescent="0.3">
      <c r="A334" s="25" t="s">
        <v>1109</v>
      </c>
      <c r="B334" s="25" t="s">
        <v>496</v>
      </c>
      <c r="C334" s="26" t="s">
        <v>1110</v>
      </c>
      <c r="D334" s="26" t="s">
        <v>5</v>
      </c>
      <c r="E334" s="26" t="s">
        <v>72</v>
      </c>
      <c r="F334" s="26" t="s">
        <v>73</v>
      </c>
      <c r="G334" s="26" t="s">
        <v>74</v>
      </c>
      <c r="H334" s="26" t="s">
        <v>796</v>
      </c>
      <c r="I334" s="25">
        <v>6</v>
      </c>
      <c r="J334" s="27">
        <v>24548.82</v>
      </c>
      <c r="K334" s="27">
        <v>25</v>
      </c>
      <c r="L334" s="27">
        <v>18411.61</v>
      </c>
      <c r="M334" s="27">
        <v>110469.66</v>
      </c>
      <c r="N334" s="27">
        <v>62816.55</v>
      </c>
      <c r="O334" s="27">
        <v>47653.11</v>
      </c>
      <c r="P334" s="28">
        <v>43.14</v>
      </c>
      <c r="Q334" s="29">
        <v>45289</v>
      </c>
      <c r="R334" s="29">
        <v>45296</v>
      </c>
      <c r="S334" s="26" t="s">
        <v>55</v>
      </c>
      <c r="T334" s="26" t="s">
        <v>56</v>
      </c>
      <c r="U334" s="26" t="s">
        <v>57</v>
      </c>
      <c r="V334" s="26" t="s">
        <v>78</v>
      </c>
    </row>
    <row r="335" spans="1:22" ht="18" customHeight="1" x14ac:dyDescent="0.3">
      <c r="A335" s="3" t="s">
        <v>1111</v>
      </c>
      <c r="B335" s="3" t="s">
        <v>1112</v>
      </c>
      <c r="C335" s="4" t="s">
        <v>1113</v>
      </c>
      <c r="D335" s="4" t="s">
        <v>6</v>
      </c>
      <c r="E335" s="4" t="s">
        <v>82</v>
      </c>
      <c r="F335" s="4" t="s">
        <v>83</v>
      </c>
      <c r="G335" s="4" t="s">
        <v>84</v>
      </c>
      <c r="H335" s="4" t="s">
        <v>160</v>
      </c>
      <c r="I335" s="3">
        <v>10</v>
      </c>
      <c r="J335" s="5">
        <v>44068.56</v>
      </c>
      <c r="K335" s="5">
        <v>0</v>
      </c>
      <c r="L335" s="5">
        <v>44068.56</v>
      </c>
      <c r="M335" s="5">
        <v>440685.6</v>
      </c>
      <c r="N335" s="5">
        <v>307040.05</v>
      </c>
      <c r="O335" s="5">
        <v>133645.54999999999</v>
      </c>
      <c r="P335" s="24">
        <v>30.33</v>
      </c>
      <c r="Q335" s="6">
        <v>45160</v>
      </c>
      <c r="R335" s="6">
        <v>45169</v>
      </c>
      <c r="S335" s="4" t="s">
        <v>66</v>
      </c>
      <c r="T335" s="4" t="s">
        <v>56</v>
      </c>
      <c r="U335" s="4" t="s">
        <v>67</v>
      </c>
      <c r="V335" s="4" t="s">
        <v>88</v>
      </c>
    </row>
    <row r="336" spans="1:22" ht="18" customHeight="1" x14ac:dyDescent="0.3">
      <c r="A336" s="25" t="s">
        <v>1114</v>
      </c>
      <c r="B336" s="25" t="s">
        <v>1115</v>
      </c>
      <c r="C336" s="26" t="s">
        <v>1116</v>
      </c>
      <c r="D336" s="26" t="s">
        <v>7</v>
      </c>
      <c r="E336" s="26" t="s">
        <v>92</v>
      </c>
      <c r="F336" s="26" t="s">
        <v>93</v>
      </c>
      <c r="G336" s="26" t="s">
        <v>94</v>
      </c>
      <c r="H336" s="26" t="s">
        <v>1051</v>
      </c>
      <c r="I336" s="25">
        <v>9</v>
      </c>
      <c r="J336" s="27">
        <v>27363.52</v>
      </c>
      <c r="K336" s="27">
        <v>15</v>
      </c>
      <c r="L336" s="27">
        <v>23258.99</v>
      </c>
      <c r="M336" s="27">
        <v>209330.91</v>
      </c>
      <c r="N336" s="27">
        <v>146307.32</v>
      </c>
      <c r="O336" s="27">
        <v>63023.59</v>
      </c>
      <c r="P336" s="28">
        <v>30.11</v>
      </c>
      <c r="Q336" s="29">
        <v>45268</v>
      </c>
      <c r="R336" s="29">
        <v>45274</v>
      </c>
      <c r="S336" s="26" t="s">
        <v>76</v>
      </c>
      <c r="T336" s="26" t="s">
        <v>56</v>
      </c>
      <c r="U336" s="26" t="s">
        <v>77</v>
      </c>
      <c r="V336" s="26" t="s">
        <v>96</v>
      </c>
    </row>
    <row r="337" spans="1:22" ht="18" customHeight="1" x14ac:dyDescent="0.3">
      <c r="A337" s="3" t="s">
        <v>1117</v>
      </c>
      <c r="B337" s="3" t="s">
        <v>1118</v>
      </c>
      <c r="C337" s="4" t="s">
        <v>190</v>
      </c>
      <c r="D337" s="4" t="s">
        <v>8</v>
      </c>
      <c r="E337" s="4" t="s">
        <v>100</v>
      </c>
      <c r="F337" s="4" t="s">
        <v>52</v>
      </c>
      <c r="G337" s="4" t="s">
        <v>53</v>
      </c>
      <c r="H337" s="4" t="s">
        <v>129</v>
      </c>
      <c r="I337" s="3">
        <v>5</v>
      </c>
      <c r="J337" s="5">
        <v>8478.49</v>
      </c>
      <c r="K337" s="5">
        <v>25</v>
      </c>
      <c r="L337" s="5">
        <v>6358.87</v>
      </c>
      <c r="M337" s="5">
        <v>31794.35</v>
      </c>
      <c r="N337" s="5">
        <v>22163.97</v>
      </c>
      <c r="O337" s="5">
        <v>9630.3799999999992</v>
      </c>
      <c r="P337" s="24">
        <v>30.29</v>
      </c>
      <c r="Q337" s="6">
        <v>45279</v>
      </c>
      <c r="R337" s="6">
        <v>45289</v>
      </c>
      <c r="S337" s="4" t="s">
        <v>86</v>
      </c>
      <c r="T337" s="4" t="s">
        <v>56</v>
      </c>
      <c r="U337" s="4" t="s">
        <v>87</v>
      </c>
      <c r="V337" s="4" t="s">
        <v>103</v>
      </c>
    </row>
    <row r="338" spans="1:22" ht="18" customHeight="1" x14ac:dyDescent="0.3">
      <c r="A338" s="25" t="s">
        <v>1119</v>
      </c>
      <c r="B338" s="25" t="s">
        <v>1120</v>
      </c>
      <c r="C338" s="26" t="s">
        <v>1121</v>
      </c>
      <c r="D338" s="26" t="s">
        <v>23</v>
      </c>
      <c r="E338" s="26" t="s">
        <v>107</v>
      </c>
      <c r="F338" s="26" t="s">
        <v>63</v>
      </c>
      <c r="G338" s="26" t="s">
        <v>64</v>
      </c>
      <c r="H338" s="26" t="s">
        <v>152</v>
      </c>
      <c r="I338" s="25">
        <v>10</v>
      </c>
      <c r="J338" s="27">
        <v>5638.91</v>
      </c>
      <c r="K338" s="27">
        <v>0</v>
      </c>
      <c r="L338" s="27">
        <v>5638.91</v>
      </c>
      <c r="M338" s="27">
        <v>56389.1</v>
      </c>
      <c r="N338" s="27">
        <v>33722.879999999997</v>
      </c>
      <c r="O338" s="27">
        <v>22666.22</v>
      </c>
      <c r="P338" s="28">
        <v>40.200000000000003</v>
      </c>
      <c r="Q338" s="29">
        <v>44956</v>
      </c>
      <c r="R338" s="29">
        <v>44964</v>
      </c>
      <c r="S338" s="26" t="s">
        <v>55</v>
      </c>
      <c r="T338" s="26" t="s">
        <v>56</v>
      </c>
      <c r="U338" s="26" t="s">
        <v>57</v>
      </c>
      <c r="V338" s="26" t="s">
        <v>109</v>
      </c>
    </row>
    <row r="339" spans="1:22" ht="18" customHeight="1" x14ac:dyDescent="0.3">
      <c r="A339" s="3" t="s">
        <v>1122</v>
      </c>
      <c r="B339" s="3" t="s">
        <v>1123</v>
      </c>
      <c r="C339" s="4" t="s">
        <v>1124</v>
      </c>
      <c r="D339" s="4" t="s">
        <v>24</v>
      </c>
      <c r="E339" s="4" t="s">
        <v>113</v>
      </c>
      <c r="F339" s="4" t="s">
        <v>73</v>
      </c>
      <c r="G339" s="4" t="s">
        <v>74</v>
      </c>
      <c r="H339" s="4" t="s">
        <v>230</v>
      </c>
      <c r="I339" s="3">
        <v>5</v>
      </c>
      <c r="J339" s="5">
        <v>18676.72</v>
      </c>
      <c r="K339" s="5">
        <v>30</v>
      </c>
      <c r="L339" s="5">
        <v>13073.7</v>
      </c>
      <c r="M339" s="5">
        <v>65368.5</v>
      </c>
      <c r="N339" s="5">
        <v>37040.5</v>
      </c>
      <c r="O339" s="5">
        <v>28328</v>
      </c>
      <c r="P339" s="24">
        <v>43.34</v>
      </c>
      <c r="Q339" s="6">
        <v>45284</v>
      </c>
      <c r="R339" s="6">
        <v>45286</v>
      </c>
      <c r="S339" s="4" t="s">
        <v>66</v>
      </c>
      <c r="T339" s="4" t="s">
        <v>56</v>
      </c>
      <c r="U339" s="4" t="s">
        <v>67</v>
      </c>
      <c r="V339" s="4" t="s">
        <v>115</v>
      </c>
    </row>
    <row r="340" spans="1:22" ht="18" customHeight="1" x14ac:dyDescent="0.3">
      <c r="A340" s="25" t="s">
        <v>1125</v>
      </c>
      <c r="B340" s="25" t="s">
        <v>275</v>
      </c>
      <c r="C340" s="26" t="s">
        <v>1126</v>
      </c>
      <c r="D340" s="26" t="s">
        <v>25</v>
      </c>
      <c r="E340" s="26" t="s">
        <v>107</v>
      </c>
      <c r="F340" s="26" t="s">
        <v>83</v>
      </c>
      <c r="G340" s="26" t="s">
        <v>84</v>
      </c>
      <c r="H340" s="26" t="s">
        <v>407</v>
      </c>
      <c r="I340" s="25">
        <v>3</v>
      </c>
      <c r="J340" s="27">
        <v>27007.53</v>
      </c>
      <c r="K340" s="27">
        <v>30</v>
      </c>
      <c r="L340" s="27">
        <v>18905.27</v>
      </c>
      <c r="M340" s="27">
        <v>56715.81</v>
      </c>
      <c r="N340" s="27">
        <v>31267.02</v>
      </c>
      <c r="O340" s="27">
        <v>25448.79</v>
      </c>
      <c r="P340" s="28">
        <v>44.87</v>
      </c>
      <c r="Q340" s="29">
        <v>45543</v>
      </c>
      <c r="R340" s="29">
        <v>45544</v>
      </c>
      <c r="S340" s="26" t="s">
        <v>76</v>
      </c>
      <c r="T340" s="26" t="s">
        <v>56</v>
      </c>
      <c r="U340" s="26" t="s">
        <v>77</v>
      </c>
      <c r="V340" s="26" t="s">
        <v>120</v>
      </c>
    </row>
    <row r="341" spans="1:22" ht="18" customHeight="1" x14ac:dyDescent="0.3">
      <c r="A341" s="3" t="s">
        <v>1127</v>
      </c>
      <c r="B341" s="3" t="s">
        <v>1128</v>
      </c>
      <c r="C341" s="4" t="s">
        <v>943</v>
      </c>
      <c r="D341" s="4" t="s">
        <v>9</v>
      </c>
      <c r="E341" s="4" t="s">
        <v>62</v>
      </c>
      <c r="F341" s="4" t="s">
        <v>93</v>
      </c>
      <c r="G341" s="4" t="s">
        <v>94</v>
      </c>
      <c r="H341" s="4" t="s">
        <v>239</v>
      </c>
      <c r="I341" s="3">
        <v>4</v>
      </c>
      <c r="J341" s="5">
        <v>4864.53</v>
      </c>
      <c r="K341" s="5">
        <v>10</v>
      </c>
      <c r="L341" s="5">
        <v>4378.08</v>
      </c>
      <c r="M341" s="5">
        <v>17512.32</v>
      </c>
      <c r="N341" s="5">
        <v>10714.64</v>
      </c>
      <c r="O341" s="5">
        <v>6797.68</v>
      </c>
      <c r="P341" s="24">
        <v>38.82</v>
      </c>
      <c r="Q341" s="6">
        <v>45133</v>
      </c>
      <c r="R341" s="6">
        <v>45141</v>
      </c>
      <c r="S341" s="4" t="s">
        <v>86</v>
      </c>
      <c r="T341" s="4" t="s">
        <v>56</v>
      </c>
      <c r="U341" s="4" t="s">
        <v>87</v>
      </c>
      <c r="V341" s="4" t="s">
        <v>125</v>
      </c>
    </row>
    <row r="342" spans="1:22" ht="18" customHeight="1" x14ac:dyDescent="0.3">
      <c r="A342" s="25" t="s">
        <v>1129</v>
      </c>
      <c r="B342" s="25" t="s">
        <v>1130</v>
      </c>
      <c r="C342" s="26" t="s">
        <v>370</v>
      </c>
      <c r="D342" s="26" t="s">
        <v>3</v>
      </c>
      <c r="E342" s="26" t="s">
        <v>3</v>
      </c>
      <c r="F342" s="26" t="s">
        <v>52</v>
      </c>
      <c r="G342" s="26" t="s">
        <v>53</v>
      </c>
      <c r="H342" s="26" t="s">
        <v>260</v>
      </c>
      <c r="I342" s="25">
        <v>3</v>
      </c>
      <c r="J342" s="27">
        <v>44822.79</v>
      </c>
      <c r="K342" s="27">
        <v>25</v>
      </c>
      <c r="L342" s="27">
        <v>33617.089999999997</v>
      </c>
      <c r="M342" s="27">
        <v>100851.27</v>
      </c>
      <c r="N342" s="27">
        <v>62458.75</v>
      </c>
      <c r="O342" s="27">
        <v>38392.519999999997</v>
      </c>
      <c r="P342" s="28">
        <v>38.07</v>
      </c>
      <c r="Q342" s="29">
        <v>45607</v>
      </c>
      <c r="R342" s="29">
        <v>45612</v>
      </c>
      <c r="S342" s="26" t="s">
        <v>55</v>
      </c>
      <c r="T342" s="26" t="s">
        <v>56</v>
      </c>
      <c r="U342" s="26" t="s">
        <v>57</v>
      </c>
      <c r="V342" s="26" t="s">
        <v>58</v>
      </c>
    </row>
    <row r="343" spans="1:22" ht="18" customHeight="1" x14ac:dyDescent="0.3">
      <c r="A343" s="3" t="s">
        <v>1131</v>
      </c>
      <c r="B343" s="3" t="s">
        <v>898</v>
      </c>
      <c r="C343" s="4" t="s">
        <v>1132</v>
      </c>
      <c r="D343" s="4" t="s">
        <v>4</v>
      </c>
      <c r="E343" s="4" t="s">
        <v>62</v>
      </c>
      <c r="F343" s="4" t="s">
        <v>63</v>
      </c>
      <c r="G343" s="4" t="s">
        <v>64</v>
      </c>
      <c r="H343" s="4" t="s">
        <v>690</v>
      </c>
      <c r="I343" s="3">
        <v>10</v>
      </c>
      <c r="J343" s="5">
        <v>18439.86</v>
      </c>
      <c r="K343" s="5">
        <v>15</v>
      </c>
      <c r="L343" s="5">
        <v>15673.88</v>
      </c>
      <c r="M343" s="5">
        <v>156738.79999999999</v>
      </c>
      <c r="N343" s="5">
        <v>89851.28</v>
      </c>
      <c r="O343" s="5">
        <v>66887.520000000004</v>
      </c>
      <c r="P343" s="24">
        <v>42.67</v>
      </c>
      <c r="Q343" s="6">
        <v>45089</v>
      </c>
      <c r="R343" s="6">
        <v>45091</v>
      </c>
      <c r="S343" s="4" t="s">
        <v>66</v>
      </c>
      <c r="T343" s="4" t="s">
        <v>56</v>
      </c>
      <c r="U343" s="4" t="s">
        <v>67</v>
      </c>
      <c r="V343" s="4" t="s">
        <v>68</v>
      </c>
    </row>
    <row r="344" spans="1:22" ht="18" customHeight="1" x14ac:dyDescent="0.3">
      <c r="A344" s="25" t="s">
        <v>1133</v>
      </c>
      <c r="B344" s="25" t="s">
        <v>1134</v>
      </c>
      <c r="C344" s="26" t="s">
        <v>1135</v>
      </c>
      <c r="D344" s="26" t="s">
        <v>5</v>
      </c>
      <c r="E344" s="26" t="s">
        <v>72</v>
      </c>
      <c r="F344" s="26" t="s">
        <v>73</v>
      </c>
      <c r="G344" s="26" t="s">
        <v>74</v>
      </c>
      <c r="H344" s="26" t="s">
        <v>796</v>
      </c>
      <c r="I344" s="25">
        <v>9</v>
      </c>
      <c r="J344" s="27">
        <v>12283.62</v>
      </c>
      <c r="K344" s="27">
        <v>20</v>
      </c>
      <c r="L344" s="27">
        <v>9826.9</v>
      </c>
      <c r="M344" s="27">
        <v>88442.1</v>
      </c>
      <c r="N344" s="27">
        <v>42145.14</v>
      </c>
      <c r="O344" s="27">
        <v>46296.959999999999</v>
      </c>
      <c r="P344" s="28">
        <v>52.35</v>
      </c>
      <c r="Q344" s="29">
        <v>45589</v>
      </c>
      <c r="R344" s="29">
        <v>45596</v>
      </c>
      <c r="S344" s="26" t="s">
        <v>76</v>
      </c>
      <c r="T344" s="26" t="s">
        <v>56</v>
      </c>
      <c r="U344" s="26" t="s">
        <v>77</v>
      </c>
      <c r="V344" s="26" t="s">
        <v>78</v>
      </c>
    </row>
    <row r="345" spans="1:22" ht="18" customHeight="1" x14ac:dyDescent="0.3">
      <c r="A345" s="3" t="s">
        <v>1136</v>
      </c>
      <c r="B345" s="3" t="s">
        <v>1137</v>
      </c>
      <c r="C345" s="4" t="s">
        <v>318</v>
      </c>
      <c r="D345" s="4" t="s">
        <v>6</v>
      </c>
      <c r="E345" s="4" t="s">
        <v>82</v>
      </c>
      <c r="F345" s="4" t="s">
        <v>83</v>
      </c>
      <c r="G345" s="4" t="s">
        <v>84</v>
      </c>
      <c r="H345" s="4" t="s">
        <v>197</v>
      </c>
      <c r="I345" s="3">
        <v>8</v>
      </c>
      <c r="J345" s="5">
        <v>35516.17</v>
      </c>
      <c r="K345" s="5">
        <v>15</v>
      </c>
      <c r="L345" s="5">
        <v>30188.74</v>
      </c>
      <c r="M345" s="5">
        <v>241509.92</v>
      </c>
      <c r="N345" s="5">
        <v>121920.04</v>
      </c>
      <c r="O345" s="5">
        <v>119589.88</v>
      </c>
      <c r="P345" s="24">
        <v>49.52</v>
      </c>
      <c r="Q345" s="6">
        <v>45605</v>
      </c>
      <c r="R345" s="6">
        <v>45606</v>
      </c>
      <c r="S345" s="4" t="s">
        <v>86</v>
      </c>
      <c r="T345" s="4" t="s">
        <v>56</v>
      </c>
      <c r="U345" s="4" t="s">
        <v>87</v>
      </c>
      <c r="V345" s="4" t="s">
        <v>88</v>
      </c>
    </row>
    <row r="346" spans="1:22" ht="18" customHeight="1" x14ac:dyDescent="0.3">
      <c r="A346" s="25" t="s">
        <v>1138</v>
      </c>
      <c r="B346" s="25" t="s">
        <v>1139</v>
      </c>
      <c r="C346" s="26" t="s">
        <v>1140</v>
      </c>
      <c r="D346" s="26" t="s">
        <v>7</v>
      </c>
      <c r="E346" s="26" t="s">
        <v>92</v>
      </c>
      <c r="F346" s="26" t="s">
        <v>93</v>
      </c>
      <c r="G346" s="26" t="s">
        <v>94</v>
      </c>
      <c r="H346" s="26" t="s">
        <v>145</v>
      </c>
      <c r="I346" s="25">
        <v>4</v>
      </c>
      <c r="J346" s="27">
        <v>48290.79</v>
      </c>
      <c r="K346" s="27">
        <v>10</v>
      </c>
      <c r="L346" s="27">
        <v>43461.71</v>
      </c>
      <c r="M346" s="27">
        <v>173846.84</v>
      </c>
      <c r="N346" s="27">
        <v>79153.75</v>
      </c>
      <c r="O346" s="27">
        <v>94693.09</v>
      </c>
      <c r="P346" s="28">
        <v>54.47</v>
      </c>
      <c r="Q346" s="29">
        <v>45527</v>
      </c>
      <c r="R346" s="29">
        <v>45536</v>
      </c>
      <c r="S346" s="26" t="s">
        <v>55</v>
      </c>
      <c r="T346" s="26" t="s">
        <v>56</v>
      </c>
      <c r="U346" s="26" t="s">
        <v>57</v>
      </c>
      <c r="V346" s="26" t="s">
        <v>96</v>
      </c>
    </row>
    <row r="347" spans="1:22" ht="18" customHeight="1" x14ac:dyDescent="0.3">
      <c r="A347" s="3" t="s">
        <v>1141</v>
      </c>
      <c r="B347" s="3" t="s">
        <v>1142</v>
      </c>
      <c r="C347" s="4" t="s">
        <v>1143</v>
      </c>
      <c r="D347" s="4" t="s">
        <v>8</v>
      </c>
      <c r="E347" s="4" t="s">
        <v>100</v>
      </c>
      <c r="F347" s="4" t="s">
        <v>52</v>
      </c>
      <c r="G347" s="4" t="s">
        <v>53</v>
      </c>
      <c r="H347" s="4" t="s">
        <v>447</v>
      </c>
      <c r="I347" s="3">
        <v>4</v>
      </c>
      <c r="J347" s="5">
        <v>25459.040000000001</v>
      </c>
      <c r="K347" s="5">
        <v>5</v>
      </c>
      <c r="L347" s="5">
        <v>24186.09</v>
      </c>
      <c r="M347" s="5">
        <v>96744.36</v>
      </c>
      <c r="N347" s="5">
        <v>59047.97</v>
      </c>
      <c r="O347" s="5">
        <v>37696.39</v>
      </c>
      <c r="P347" s="24">
        <v>38.96</v>
      </c>
      <c r="Q347" s="6">
        <v>45327</v>
      </c>
      <c r="R347" s="6">
        <v>45332</v>
      </c>
      <c r="S347" s="4" t="s">
        <v>66</v>
      </c>
      <c r="T347" s="4" t="s">
        <v>56</v>
      </c>
      <c r="U347" s="4" t="s">
        <v>67</v>
      </c>
      <c r="V347" s="4" t="s">
        <v>103</v>
      </c>
    </row>
    <row r="348" spans="1:22" ht="18" customHeight="1" x14ac:dyDescent="0.3">
      <c r="A348" s="25" t="s">
        <v>1144</v>
      </c>
      <c r="B348" s="25" t="s">
        <v>1145</v>
      </c>
      <c r="C348" s="26" t="s">
        <v>1146</v>
      </c>
      <c r="D348" s="26" t="s">
        <v>23</v>
      </c>
      <c r="E348" s="26" t="s">
        <v>107</v>
      </c>
      <c r="F348" s="26" t="s">
        <v>63</v>
      </c>
      <c r="G348" s="26" t="s">
        <v>64</v>
      </c>
      <c r="H348" s="26" t="s">
        <v>823</v>
      </c>
      <c r="I348" s="25">
        <v>10</v>
      </c>
      <c r="J348" s="27">
        <v>36911.78</v>
      </c>
      <c r="K348" s="27">
        <v>20</v>
      </c>
      <c r="L348" s="27">
        <v>29529.42</v>
      </c>
      <c r="M348" s="27">
        <v>295294.2</v>
      </c>
      <c r="N348" s="27">
        <v>194781.56</v>
      </c>
      <c r="O348" s="27">
        <v>100512.64</v>
      </c>
      <c r="P348" s="28">
        <v>34.04</v>
      </c>
      <c r="Q348" s="29">
        <v>44975</v>
      </c>
      <c r="R348" s="29">
        <v>44982</v>
      </c>
      <c r="S348" s="26" t="s">
        <v>76</v>
      </c>
      <c r="T348" s="26" t="s">
        <v>235</v>
      </c>
      <c r="U348" s="26" t="s">
        <v>77</v>
      </c>
      <c r="V348" s="26" t="s">
        <v>109</v>
      </c>
    </row>
    <row r="349" spans="1:22" ht="18" customHeight="1" x14ac:dyDescent="0.3">
      <c r="A349" s="3" t="s">
        <v>1147</v>
      </c>
      <c r="B349" s="3" t="s">
        <v>1148</v>
      </c>
      <c r="C349" s="4" t="s">
        <v>1093</v>
      </c>
      <c r="D349" s="4" t="s">
        <v>24</v>
      </c>
      <c r="E349" s="4" t="s">
        <v>113</v>
      </c>
      <c r="F349" s="4" t="s">
        <v>73</v>
      </c>
      <c r="G349" s="4" t="s">
        <v>74</v>
      </c>
      <c r="H349" s="4" t="s">
        <v>267</v>
      </c>
      <c r="I349" s="3">
        <v>10</v>
      </c>
      <c r="J349" s="5">
        <v>32618.400000000001</v>
      </c>
      <c r="K349" s="5">
        <v>30</v>
      </c>
      <c r="L349" s="5">
        <v>22832.880000000001</v>
      </c>
      <c r="M349" s="5">
        <v>228328.8</v>
      </c>
      <c r="N349" s="5">
        <v>135031.93</v>
      </c>
      <c r="O349" s="5">
        <v>93296.87</v>
      </c>
      <c r="P349" s="24">
        <v>40.86</v>
      </c>
      <c r="Q349" s="6">
        <v>45365</v>
      </c>
      <c r="R349" s="6">
        <v>45369</v>
      </c>
      <c r="S349" s="4" t="s">
        <v>86</v>
      </c>
      <c r="T349" s="4" t="s">
        <v>56</v>
      </c>
      <c r="U349" s="4" t="s">
        <v>87</v>
      </c>
      <c r="V349" s="4" t="s">
        <v>115</v>
      </c>
    </row>
    <row r="350" spans="1:22" ht="18" customHeight="1" x14ac:dyDescent="0.3">
      <c r="A350" s="25" t="s">
        <v>1149</v>
      </c>
      <c r="B350" s="25" t="s">
        <v>422</v>
      </c>
      <c r="C350" s="26" t="s">
        <v>311</v>
      </c>
      <c r="D350" s="26" t="s">
        <v>25</v>
      </c>
      <c r="E350" s="26" t="s">
        <v>107</v>
      </c>
      <c r="F350" s="26" t="s">
        <v>83</v>
      </c>
      <c r="G350" s="26" t="s">
        <v>84</v>
      </c>
      <c r="H350" s="26" t="s">
        <v>407</v>
      </c>
      <c r="I350" s="25">
        <v>8</v>
      </c>
      <c r="J350" s="27">
        <v>41835.769999999997</v>
      </c>
      <c r="K350" s="27">
        <v>10</v>
      </c>
      <c r="L350" s="27">
        <v>37652.19</v>
      </c>
      <c r="M350" s="27">
        <v>301217.52</v>
      </c>
      <c r="N350" s="27">
        <v>162757.92000000001</v>
      </c>
      <c r="O350" s="27">
        <v>138459.6</v>
      </c>
      <c r="P350" s="28">
        <v>45.97</v>
      </c>
      <c r="Q350" s="29">
        <v>45070</v>
      </c>
      <c r="R350" s="29">
        <v>45071</v>
      </c>
      <c r="S350" s="26" t="s">
        <v>55</v>
      </c>
      <c r="T350" s="26" t="s">
        <v>56</v>
      </c>
      <c r="U350" s="26" t="s">
        <v>57</v>
      </c>
      <c r="V350" s="26" t="s">
        <v>120</v>
      </c>
    </row>
    <row r="351" spans="1:22" ht="18" customHeight="1" x14ac:dyDescent="0.3">
      <c r="A351" s="3" t="s">
        <v>1150</v>
      </c>
      <c r="B351" s="3" t="s">
        <v>1151</v>
      </c>
      <c r="C351" s="4" t="s">
        <v>1152</v>
      </c>
      <c r="D351" s="4" t="s">
        <v>9</v>
      </c>
      <c r="E351" s="4" t="s">
        <v>62</v>
      </c>
      <c r="F351" s="4" t="s">
        <v>93</v>
      </c>
      <c r="G351" s="4" t="s">
        <v>94</v>
      </c>
      <c r="H351" s="4" t="s">
        <v>145</v>
      </c>
      <c r="I351" s="3">
        <v>7</v>
      </c>
      <c r="J351" s="5">
        <v>44654.64</v>
      </c>
      <c r="K351" s="5">
        <v>20</v>
      </c>
      <c r="L351" s="5">
        <v>35723.71</v>
      </c>
      <c r="M351" s="5">
        <v>250065.97</v>
      </c>
      <c r="N351" s="5">
        <v>170023.61</v>
      </c>
      <c r="O351" s="5">
        <v>80042.36</v>
      </c>
      <c r="P351" s="24">
        <v>32.01</v>
      </c>
      <c r="Q351" s="6">
        <v>45507</v>
      </c>
      <c r="R351" s="6">
        <v>45513</v>
      </c>
      <c r="S351" s="4" t="s">
        <v>66</v>
      </c>
      <c r="T351" s="4" t="s">
        <v>56</v>
      </c>
      <c r="U351" s="4" t="s">
        <v>67</v>
      </c>
      <c r="V351" s="4" t="s">
        <v>125</v>
      </c>
    </row>
    <row r="352" spans="1:22" ht="18" customHeight="1" x14ac:dyDescent="0.3">
      <c r="A352" s="25" t="s">
        <v>1153</v>
      </c>
      <c r="B352" s="25" t="s">
        <v>228</v>
      </c>
      <c r="C352" s="26" t="s">
        <v>1126</v>
      </c>
      <c r="D352" s="26" t="s">
        <v>3</v>
      </c>
      <c r="E352" s="26" t="s">
        <v>3</v>
      </c>
      <c r="F352" s="26" t="s">
        <v>52</v>
      </c>
      <c r="G352" s="26" t="s">
        <v>53</v>
      </c>
      <c r="H352" s="26" t="s">
        <v>294</v>
      </c>
      <c r="I352" s="25">
        <v>2</v>
      </c>
      <c r="J352" s="27">
        <v>19429.78</v>
      </c>
      <c r="K352" s="27">
        <v>0</v>
      </c>
      <c r="L352" s="27">
        <v>19429.78</v>
      </c>
      <c r="M352" s="27">
        <v>38859.56</v>
      </c>
      <c r="N352" s="27">
        <v>28142.16</v>
      </c>
      <c r="O352" s="27">
        <v>10717.4</v>
      </c>
      <c r="P352" s="28">
        <v>27.58</v>
      </c>
      <c r="Q352" s="29">
        <v>45331</v>
      </c>
      <c r="R352" s="29">
        <v>45335</v>
      </c>
      <c r="S352" s="26" t="s">
        <v>76</v>
      </c>
      <c r="T352" s="26" t="s">
        <v>56</v>
      </c>
      <c r="U352" s="26" t="s">
        <v>77</v>
      </c>
      <c r="V352" s="26" t="s">
        <v>58</v>
      </c>
    </row>
    <row r="353" spans="1:22" ht="18" customHeight="1" x14ac:dyDescent="0.3">
      <c r="A353" s="3" t="s">
        <v>1154</v>
      </c>
      <c r="B353" s="3" t="s">
        <v>1155</v>
      </c>
      <c r="C353" s="4" t="s">
        <v>860</v>
      </c>
      <c r="D353" s="4" t="s">
        <v>4</v>
      </c>
      <c r="E353" s="4" t="s">
        <v>62</v>
      </c>
      <c r="F353" s="4" t="s">
        <v>63</v>
      </c>
      <c r="G353" s="4" t="s">
        <v>64</v>
      </c>
      <c r="H353" s="4" t="s">
        <v>65</v>
      </c>
      <c r="I353" s="3">
        <v>9</v>
      </c>
      <c r="J353" s="5">
        <v>32228.560000000001</v>
      </c>
      <c r="K353" s="5">
        <v>25</v>
      </c>
      <c r="L353" s="5">
        <v>24171.42</v>
      </c>
      <c r="M353" s="5">
        <v>217542.78</v>
      </c>
      <c r="N353" s="5">
        <v>159393.68</v>
      </c>
      <c r="O353" s="5">
        <v>58149.1</v>
      </c>
      <c r="P353" s="24">
        <v>26.73</v>
      </c>
      <c r="Q353" s="6">
        <v>45222</v>
      </c>
      <c r="R353" s="6">
        <v>45224</v>
      </c>
      <c r="S353" s="4" t="s">
        <v>86</v>
      </c>
      <c r="T353" s="4" t="s">
        <v>56</v>
      </c>
      <c r="U353" s="4" t="s">
        <v>87</v>
      </c>
      <c r="V353" s="4" t="s">
        <v>68</v>
      </c>
    </row>
    <row r="354" spans="1:22" ht="18" customHeight="1" x14ac:dyDescent="0.3">
      <c r="A354" s="25" t="s">
        <v>1156</v>
      </c>
      <c r="B354" s="25" t="s">
        <v>1074</v>
      </c>
      <c r="C354" s="26" t="s">
        <v>350</v>
      </c>
      <c r="D354" s="26" t="s">
        <v>5</v>
      </c>
      <c r="E354" s="26" t="s">
        <v>72</v>
      </c>
      <c r="F354" s="26" t="s">
        <v>73</v>
      </c>
      <c r="G354" s="26" t="s">
        <v>74</v>
      </c>
      <c r="H354" s="26" t="s">
        <v>591</v>
      </c>
      <c r="I354" s="25">
        <v>1</v>
      </c>
      <c r="J354" s="27">
        <v>43197.59</v>
      </c>
      <c r="K354" s="27">
        <v>10</v>
      </c>
      <c r="L354" s="27">
        <v>38877.83</v>
      </c>
      <c r="M354" s="27">
        <v>38877.83</v>
      </c>
      <c r="N354" s="27">
        <v>24454.52</v>
      </c>
      <c r="O354" s="27">
        <v>14423.31</v>
      </c>
      <c r="P354" s="28">
        <v>37.1</v>
      </c>
      <c r="Q354" s="29">
        <v>45249</v>
      </c>
      <c r="R354" s="29">
        <v>45257</v>
      </c>
      <c r="S354" s="26" t="s">
        <v>55</v>
      </c>
      <c r="T354" s="26" t="s">
        <v>56</v>
      </c>
      <c r="U354" s="26" t="s">
        <v>57</v>
      </c>
      <c r="V354" s="26" t="s">
        <v>78</v>
      </c>
    </row>
    <row r="355" spans="1:22" ht="18" customHeight="1" x14ac:dyDescent="0.3">
      <c r="A355" s="3" t="s">
        <v>1157</v>
      </c>
      <c r="B355" s="3" t="s">
        <v>1158</v>
      </c>
      <c r="C355" s="4" t="s">
        <v>1159</v>
      </c>
      <c r="D355" s="4" t="s">
        <v>6</v>
      </c>
      <c r="E355" s="4" t="s">
        <v>82</v>
      </c>
      <c r="F355" s="4" t="s">
        <v>83</v>
      </c>
      <c r="G355" s="4" t="s">
        <v>84</v>
      </c>
      <c r="H355" s="4" t="s">
        <v>141</v>
      </c>
      <c r="I355" s="3">
        <v>6</v>
      </c>
      <c r="J355" s="5">
        <v>13330.45</v>
      </c>
      <c r="K355" s="5">
        <v>10</v>
      </c>
      <c r="L355" s="5">
        <v>11997.41</v>
      </c>
      <c r="M355" s="5">
        <v>71984.460000000006</v>
      </c>
      <c r="N355" s="5">
        <v>52759.42</v>
      </c>
      <c r="O355" s="5">
        <v>19225.04</v>
      </c>
      <c r="P355" s="24">
        <v>26.71</v>
      </c>
      <c r="Q355" s="6">
        <v>45016</v>
      </c>
      <c r="R355" s="6">
        <v>45024</v>
      </c>
      <c r="S355" s="4" t="s">
        <v>66</v>
      </c>
      <c r="T355" s="4" t="s">
        <v>56</v>
      </c>
      <c r="U355" s="4" t="s">
        <v>67</v>
      </c>
      <c r="V355" s="4" t="s">
        <v>88</v>
      </c>
    </row>
    <row r="356" spans="1:22" ht="18" customHeight="1" x14ac:dyDescent="0.3">
      <c r="A356" s="25" t="s">
        <v>1160</v>
      </c>
      <c r="B356" s="25" t="s">
        <v>1161</v>
      </c>
      <c r="C356" s="26" t="s">
        <v>698</v>
      </c>
      <c r="D356" s="26" t="s">
        <v>7</v>
      </c>
      <c r="E356" s="26" t="s">
        <v>92</v>
      </c>
      <c r="F356" s="26" t="s">
        <v>93</v>
      </c>
      <c r="G356" s="26" t="s">
        <v>94</v>
      </c>
      <c r="H356" s="26" t="s">
        <v>124</v>
      </c>
      <c r="I356" s="25">
        <v>2</v>
      </c>
      <c r="J356" s="27">
        <v>43084</v>
      </c>
      <c r="K356" s="27">
        <v>30</v>
      </c>
      <c r="L356" s="27">
        <v>30158.799999999999</v>
      </c>
      <c r="M356" s="27">
        <v>60317.599999999999</v>
      </c>
      <c r="N356" s="27">
        <v>31714.18</v>
      </c>
      <c r="O356" s="27">
        <v>28603.42</v>
      </c>
      <c r="P356" s="28">
        <v>47.42</v>
      </c>
      <c r="Q356" s="29">
        <v>45346</v>
      </c>
      <c r="R356" s="29">
        <v>45356</v>
      </c>
      <c r="S356" s="26" t="s">
        <v>76</v>
      </c>
      <c r="T356" s="26" t="s">
        <v>56</v>
      </c>
      <c r="U356" s="26" t="s">
        <v>77</v>
      </c>
      <c r="V356" s="26" t="s">
        <v>96</v>
      </c>
    </row>
    <row r="357" spans="1:22" ht="18" customHeight="1" x14ac:dyDescent="0.3">
      <c r="A357" s="3" t="s">
        <v>1162</v>
      </c>
      <c r="B357" s="3" t="s">
        <v>1163</v>
      </c>
      <c r="C357" s="4" t="s">
        <v>1164</v>
      </c>
      <c r="D357" s="4" t="s">
        <v>8</v>
      </c>
      <c r="E357" s="4" t="s">
        <v>100</v>
      </c>
      <c r="F357" s="4" t="s">
        <v>52</v>
      </c>
      <c r="G357" s="4" t="s">
        <v>53</v>
      </c>
      <c r="H357" s="4" t="s">
        <v>887</v>
      </c>
      <c r="I357" s="3">
        <v>3</v>
      </c>
      <c r="J357" s="5">
        <v>628.38</v>
      </c>
      <c r="K357" s="5">
        <v>25</v>
      </c>
      <c r="L357" s="5">
        <v>471.28</v>
      </c>
      <c r="M357" s="5">
        <v>1413.84</v>
      </c>
      <c r="N357" s="5">
        <v>878.31</v>
      </c>
      <c r="O357" s="5">
        <v>535.53</v>
      </c>
      <c r="P357" s="24">
        <v>37.880000000000003</v>
      </c>
      <c r="Q357" s="6">
        <v>45515</v>
      </c>
      <c r="R357" s="6">
        <v>45517</v>
      </c>
      <c r="S357" s="4" t="s">
        <v>86</v>
      </c>
      <c r="T357" s="4" t="s">
        <v>56</v>
      </c>
      <c r="U357" s="4" t="s">
        <v>87</v>
      </c>
      <c r="V357" s="4" t="s">
        <v>103</v>
      </c>
    </row>
    <row r="358" spans="1:22" ht="18" customHeight="1" x14ac:dyDescent="0.3">
      <c r="A358" s="25" t="s">
        <v>1165</v>
      </c>
      <c r="B358" s="25" t="s">
        <v>1166</v>
      </c>
      <c r="C358" s="26" t="s">
        <v>1167</v>
      </c>
      <c r="D358" s="26" t="s">
        <v>23</v>
      </c>
      <c r="E358" s="26" t="s">
        <v>107</v>
      </c>
      <c r="F358" s="26" t="s">
        <v>63</v>
      </c>
      <c r="G358" s="26" t="s">
        <v>64</v>
      </c>
      <c r="H358" s="26" t="s">
        <v>588</v>
      </c>
      <c r="I358" s="25">
        <v>10</v>
      </c>
      <c r="J358" s="27">
        <v>39482.839999999997</v>
      </c>
      <c r="K358" s="27">
        <v>5</v>
      </c>
      <c r="L358" s="27">
        <v>37508.699999999997</v>
      </c>
      <c r="M358" s="27">
        <v>375087</v>
      </c>
      <c r="N358" s="27">
        <v>250188.46</v>
      </c>
      <c r="O358" s="27">
        <v>124898.54</v>
      </c>
      <c r="P358" s="28">
        <v>33.299999999999997</v>
      </c>
      <c r="Q358" s="29">
        <v>45414</v>
      </c>
      <c r="R358" s="29">
        <v>45419</v>
      </c>
      <c r="S358" s="26" t="s">
        <v>55</v>
      </c>
      <c r="T358" s="26" t="s">
        <v>56</v>
      </c>
      <c r="U358" s="26" t="s">
        <v>57</v>
      </c>
      <c r="V358" s="26" t="s">
        <v>109</v>
      </c>
    </row>
    <row r="359" spans="1:22" ht="18" customHeight="1" x14ac:dyDescent="0.3">
      <c r="A359" s="3" t="s">
        <v>1168</v>
      </c>
      <c r="B359" s="3" t="s">
        <v>1169</v>
      </c>
      <c r="C359" s="4" t="s">
        <v>784</v>
      </c>
      <c r="D359" s="4" t="s">
        <v>24</v>
      </c>
      <c r="E359" s="4" t="s">
        <v>113</v>
      </c>
      <c r="F359" s="4" t="s">
        <v>73</v>
      </c>
      <c r="G359" s="4" t="s">
        <v>74</v>
      </c>
      <c r="H359" s="4" t="s">
        <v>75</v>
      </c>
      <c r="I359" s="3">
        <v>3</v>
      </c>
      <c r="J359" s="5">
        <v>29695.23</v>
      </c>
      <c r="K359" s="5">
        <v>0</v>
      </c>
      <c r="L359" s="5">
        <v>29695.23</v>
      </c>
      <c r="M359" s="5">
        <v>89085.69</v>
      </c>
      <c r="N359" s="5">
        <v>49612.38</v>
      </c>
      <c r="O359" s="5">
        <v>39473.31</v>
      </c>
      <c r="P359" s="24">
        <v>44.31</v>
      </c>
      <c r="Q359" s="6">
        <v>45086</v>
      </c>
      <c r="R359" s="6">
        <v>45093</v>
      </c>
      <c r="S359" s="4" t="s">
        <v>66</v>
      </c>
      <c r="T359" s="4" t="s">
        <v>56</v>
      </c>
      <c r="U359" s="4" t="s">
        <v>67</v>
      </c>
      <c r="V359" s="4" t="s">
        <v>115</v>
      </c>
    </row>
    <row r="360" spans="1:22" ht="18" customHeight="1" x14ac:dyDescent="0.3">
      <c r="A360" s="25" t="s">
        <v>1170</v>
      </c>
      <c r="B360" s="25" t="s">
        <v>1171</v>
      </c>
      <c r="C360" s="26" t="s">
        <v>1172</v>
      </c>
      <c r="D360" s="26" t="s">
        <v>25</v>
      </c>
      <c r="E360" s="26" t="s">
        <v>107</v>
      </c>
      <c r="F360" s="26" t="s">
        <v>83</v>
      </c>
      <c r="G360" s="26" t="s">
        <v>84</v>
      </c>
      <c r="H360" s="26" t="s">
        <v>119</v>
      </c>
      <c r="I360" s="25">
        <v>8</v>
      </c>
      <c r="J360" s="27">
        <v>31849.040000000001</v>
      </c>
      <c r="K360" s="27">
        <v>30</v>
      </c>
      <c r="L360" s="27">
        <v>22294.33</v>
      </c>
      <c r="M360" s="27">
        <v>178354.64</v>
      </c>
      <c r="N360" s="27">
        <v>116274.18</v>
      </c>
      <c r="O360" s="27">
        <v>62080.46</v>
      </c>
      <c r="P360" s="28">
        <v>34.81</v>
      </c>
      <c r="Q360" s="29">
        <v>44954</v>
      </c>
      <c r="R360" s="29">
        <v>44962</v>
      </c>
      <c r="S360" s="26" t="s">
        <v>76</v>
      </c>
      <c r="T360" s="26" t="s">
        <v>56</v>
      </c>
      <c r="U360" s="26" t="s">
        <v>77</v>
      </c>
      <c r="V360" s="26" t="s">
        <v>120</v>
      </c>
    </row>
    <row r="361" spans="1:22" ht="18" customHeight="1" x14ac:dyDescent="0.3">
      <c r="A361" s="3" t="s">
        <v>1173</v>
      </c>
      <c r="B361" s="3" t="s">
        <v>1174</v>
      </c>
      <c r="C361" s="4" t="s">
        <v>1175</v>
      </c>
      <c r="D361" s="4" t="s">
        <v>9</v>
      </c>
      <c r="E361" s="4" t="s">
        <v>62</v>
      </c>
      <c r="F361" s="4" t="s">
        <v>93</v>
      </c>
      <c r="G361" s="4" t="s">
        <v>94</v>
      </c>
      <c r="H361" s="4" t="s">
        <v>291</v>
      </c>
      <c r="I361" s="3">
        <v>1</v>
      </c>
      <c r="J361" s="5">
        <v>31900.47</v>
      </c>
      <c r="K361" s="5">
        <v>25</v>
      </c>
      <c r="L361" s="5">
        <v>23925.35</v>
      </c>
      <c r="M361" s="5">
        <v>23925.35</v>
      </c>
      <c r="N361" s="5">
        <v>10868.11</v>
      </c>
      <c r="O361" s="5">
        <v>13057.24</v>
      </c>
      <c r="P361" s="24">
        <v>54.57</v>
      </c>
      <c r="Q361" s="6">
        <v>45614</v>
      </c>
      <c r="R361" s="6">
        <v>45621</v>
      </c>
      <c r="S361" s="4" t="s">
        <v>86</v>
      </c>
      <c r="T361" s="4" t="s">
        <v>56</v>
      </c>
      <c r="U361" s="4" t="s">
        <v>87</v>
      </c>
      <c r="V361" s="4" t="s">
        <v>125</v>
      </c>
    </row>
    <row r="362" spans="1:22" ht="18" customHeight="1" x14ac:dyDescent="0.3">
      <c r="A362" s="25" t="s">
        <v>1176</v>
      </c>
      <c r="B362" s="25" t="s">
        <v>1177</v>
      </c>
      <c r="C362" s="26" t="s">
        <v>1178</v>
      </c>
      <c r="D362" s="26" t="s">
        <v>3</v>
      </c>
      <c r="E362" s="26" t="s">
        <v>3</v>
      </c>
      <c r="F362" s="26" t="s">
        <v>52</v>
      </c>
      <c r="G362" s="26" t="s">
        <v>53</v>
      </c>
      <c r="H362" s="26" t="s">
        <v>657</v>
      </c>
      <c r="I362" s="25">
        <v>8</v>
      </c>
      <c r="J362" s="27">
        <v>32867.199999999997</v>
      </c>
      <c r="K362" s="27">
        <v>5</v>
      </c>
      <c r="L362" s="27">
        <v>31223.84</v>
      </c>
      <c r="M362" s="27">
        <v>249790.72</v>
      </c>
      <c r="N362" s="27">
        <v>125476.46</v>
      </c>
      <c r="O362" s="27">
        <v>124314.26</v>
      </c>
      <c r="P362" s="28">
        <v>49.77</v>
      </c>
      <c r="Q362" s="29">
        <v>45467</v>
      </c>
      <c r="R362" s="29">
        <v>45473</v>
      </c>
      <c r="S362" s="26" t="s">
        <v>55</v>
      </c>
      <c r="T362" s="26" t="s">
        <v>235</v>
      </c>
      <c r="U362" s="26" t="s">
        <v>57</v>
      </c>
      <c r="V362" s="26" t="s">
        <v>58</v>
      </c>
    </row>
    <row r="363" spans="1:22" ht="18" customHeight="1" x14ac:dyDescent="0.3">
      <c r="A363" s="3" t="s">
        <v>1179</v>
      </c>
      <c r="B363" s="3" t="s">
        <v>1180</v>
      </c>
      <c r="C363" s="4" t="s">
        <v>937</v>
      </c>
      <c r="D363" s="4" t="s">
        <v>4</v>
      </c>
      <c r="E363" s="4" t="s">
        <v>62</v>
      </c>
      <c r="F363" s="4" t="s">
        <v>63</v>
      </c>
      <c r="G363" s="4" t="s">
        <v>64</v>
      </c>
      <c r="H363" s="4" t="s">
        <v>108</v>
      </c>
      <c r="I363" s="3">
        <v>7</v>
      </c>
      <c r="J363" s="5">
        <v>16036.85</v>
      </c>
      <c r="K363" s="5">
        <v>30</v>
      </c>
      <c r="L363" s="5">
        <v>11225.8</v>
      </c>
      <c r="M363" s="5">
        <v>78580.600000000006</v>
      </c>
      <c r="N363" s="5">
        <v>35535.21</v>
      </c>
      <c r="O363" s="5">
        <v>43045.39</v>
      </c>
      <c r="P363" s="24">
        <v>54.78</v>
      </c>
      <c r="Q363" s="6">
        <v>45450</v>
      </c>
      <c r="R363" s="6">
        <v>45453</v>
      </c>
      <c r="S363" s="4" t="s">
        <v>66</v>
      </c>
      <c r="T363" s="4" t="s">
        <v>56</v>
      </c>
      <c r="U363" s="4" t="s">
        <v>67</v>
      </c>
      <c r="V363" s="4" t="s">
        <v>68</v>
      </c>
    </row>
    <row r="364" spans="1:22" ht="18" customHeight="1" x14ac:dyDescent="0.3">
      <c r="A364" s="25" t="s">
        <v>1181</v>
      </c>
      <c r="B364" s="25" t="s">
        <v>1182</v>
      </c>
      <c r="C364" s="26" t="s">
        <v>901</v>
      </c>
      <c r="D364" s="26" t="s">
        <v>5</v>
      </c>
      <c r="E364" s="26" t="s">
        <v>72</v>
      </c>
      <c r="F364" s="26" t="s">
        <v>73</v>
      </c>
      <c r="G364" s="26" t="s">
        <v>74</v>
      </c>
      <c r="H364" s="26" t="s">
        <v>591</v>
      </c>
      <c r="I364" s="25">
        <v>3</v>
      </c>
      <c r="J364" s="27">
        <v>30211.91</v>
      </c>
      <c r="K364" s="27">
        <v>25</v>
      </c>
      <c r="L364" s="27">
        <v>22658.93</v>
      </c>
      <c r="M364" s="27">
        <v>67976.789999999994</v>
      </c>
      <c r="N364" s="27">
        <v>43886.57</v>
      </c>
      <c r="O364" s="27">
        <v>24090.22</v>
      </c>
      <c r="P364" s="28">
        <v>35.44</v>
      </c>
      <c r="Q364" s="29">
        <v>45438</v>
      </c>
      <c r="R364" s="29">
        <v>45439</v>
      </c>
      <c r="S364" s="26" t="s">
        <v>76</v>
      </c>
      <c r="T364" s="26" t="s">
        <v>235</v>
      </c>
      <c r="U364" s="26" t="s">
        <v>77</v>
      </c>
      <c r="V364" s="26" t="s">
        <v>78</v>
      </c>
    </row>
    <row r="365" spans="1:22" ht="18" customHeight="1" x14ac:dyDescent="0.3">
      <c r="A365" s="3" t="s">
        <v>1183</v>
      </c>
      <c r="B365" s="3" t="s">
        <v>751</v>
      </c>
      <c r="C365" s="4" t="s">
        <v>1172</v>
      </c>
      <c r="D365" s="4" t="s">
        <v>6</v>
      </c>
      <c r="E365" s="4" t="s">
        <v>82</v>
      </c>
      <c r="F365" s="4" t="s">
        <v>83</v>
      </c>
      <c r="G365" s="4" t="s">
        <v>84</v>
      </c>
      <c r="H365" s="4" t="s">
        <v>1021</v>
      </c>
      <c r="I365" s="3">
        <v>1</v>
      </c>
      <c r="J365" s="5">
        <v>23018.26</v>
      </c>
      <c r="K365" s="5">
        <v>20</v>
      </c>
      <c r="L365" s="5">
        <v>18414.61</v>
      </c>
      <c r="M365" s="5">
        <v>18414.61</v>
      </c>
      <c r="N365" s="5">
        <v>12336.39</v>
      </c>
      <c r="O365" s="5">
        <v>6078.22</v>
      </c>
      <c r="P365" s="24">
        <v>33.01</v>
      </c>
      <c r="Q365" s="6">
        <v>45275</v>
      </c>
      <c r="R365" s="6">
        <v>45283</v>
      </c>
      <c r="S365" s="4" t="s">
        <v>86</v>
      </c>
      <c r="T365" s="4" t="s">
        <v>56</v>
      </c>
      <c r="U365" s="4" t="s">
        <v>87</v>
      </c>
      <c r="V365" s="4" t="s">
        <v>88</v>
      </c>
    </row>
    <row r="366" spans="1:22" ht="18" customHeight="1" x14ac:dyDescent="0.3">
      <c r="A366" s="25" t="s">
        <v>1184</v>
      </c>
      <c r="B366" s="25" t="s">
        <v>1185</v>
      </c>
      <c r="C366" s="26" t="s">
        <v>1186</v>
      </c>
      <c r="D366" s="26" t="s">
        <v>7</v>
      </c>
      <c r="E366" s="26" t="s">
        <v>92</v>
      </c>
      <c r="F366" s="26" t="s">
        <v>93</v>
      </c>
      <c r="G366" s="26" t="s">
        <v>94</v>
      </c>
      <c r="H366" s="26" t="s">
        <v>443</v>
      </c>
      <c r="I366" s="25">
        <v>9</v>
      </c>
      <c r="J366" s="27">
        <v>44492.47</v>
      </c>
      <c r="K366" s="27">
        <v>20</v>
      </c>
      <c r="L366" s="27">
        <v>35593.980000000003</v>
      </c>
      <c r="M366" s="27">
        <v>320345.82</v>
      </c>
      <c r="N366" s="27">
        <v>237947.99</v>
      </c>
      <c r="O366" s="27">
        <v>82397.83</v>
      </c>
      <c r="P366" s="28">
        <v>25.72</v>
      </c>
      <c r="Q366" s="29">
        <v>45061</v>
      </c>
      <c r="R366" s="29">
        <v>45067</v>
      </c>
      <c r="S366" s="26" t="s">
        <v>55</v>
      </c>
      <c r="T366" s="26" t="s">
        <v>56</v>
      </c>
      <c r="U366" s="26" t="s">
        <v>57</v>
      </c>
      <c r="V366" s="26" t="s">
        <v>96</v>
      </c>
    </row>
    <row r="367" spans="1:22" ht="18" customHeight="1" x14ac:dyDescent="0.3">
      <c r="A367" s="3" t="s">
        <v>1187</v>
      </c>
      <c r="B367" s="3" t="s">
        <v>1188</v>
      </c>
      <c r="C367" s="4" t="s">
        <v>1189</v>
      </c>
      <c r="D367" s="4" t="s">
        <v>8</v>
      </c>
      <c r="E367" s="4" t="s">
        <v>100</v>
      </c>
      <c r="F367" s="4" t="s">
        <v>52</v>
      </c>
      <c r="G367" s="4" t="s">
        <v>53</v>
      </c>
      <c r="H367" s="4" t="s">
        <v>243</v>
      </c>
      <c r="I367" s="3">
        <v>2</v>
      </c>
      <c r="J367" s="5">
        <v>9148.5</v>
      </c>
      <c r="K367" s="5">
        <v>30</v>
      </c>
      <c r="L367" s="5">
        <v>6403.95</v>
      </c>
      <c r="M367" s="5">
        <v>12807.9</v>
      </c>
      <c r="N367" s="5">
        <v>9076.6299999999992</v>
      </c>
      <c r="O367" s="5">
        <v>3731.27</v>
      </c>
      <c r="P367" s="24">
        <v>29.13</v>
      </c>
      <c r="Q367" s="6">
        <v>45016</v>
      </c>
      <c r="R367" s="6">
        <v>45023</v>
      </c>
      <c r="S367" s="4" t="s">
        <v>66</v>
      </c>
      <c r="T367" s="4" t="s">
        <v>56</v>
      </c>
      <c r="U367" s="4" t="s">
        <v>67</v>
      </c>
      <c r="V367" s="4" t="s">
        <v>103</v>
      </c>
    </row>
    <row r="368" spans="1:22" ht="18" customHeight="1" x14ac:dyDescent="0.3">
      <c r="A368" s="25" t="s">
        <v>1190</v>
      </c>
      <c r="B368" s="25" t="s">
        <v>1191</v>
      </c>
      <c r="C368" s="26" t="s">
        <v>896</v>
      </c>
      <c r="D368" s="26" t="s">
        <v>23</v>
      </c>
      <c r="E368" s="26" t="s">
        <v>107</v>
      </c>
      <c r="F368" s="26" t="s">
        <v>63</v>
      </c>
      <c r="G368" s="26" t="s">
        <v>64</v>
      </c>
      <c r="H368" s="26" t="s">
        <v>332</v>
      </c>
      <c r="I368" s="25">
        <v>8</v>
      </c>
      <c r="J368" s="27">
        <v>43709.03</v>
      </c>
      <c r="K368" s="27">
        <v>10</v>
      </c>
      <c r="L368" s="27">
        <v>39338.129999999997</v>
      </c>
      <c r="M368" s="27">
        <v>314705.03999999998</v>
      </c>
      <c r="N368" s="27">
        <v>145950.67000000001</v>
      </c>
      <c r="O368" s="27">
        <v>168754.37</v>
      </c>
      <c r="P368" s="28">
        <v>53.62</v>
      </c>
      <c r="Q368" s="29">
        <v>44995</v>
      </c>
      <c r="R368" s="29">
        <v>44997</v>
      </c>
      <c r="S368" s="26" t="s">
        <v>76</v>
      </c>
      <c r="T368" s="26" t="s">
        <v>56</v>
      </c>
      <c r="U368" s="26" t="s">
        <v>77</v>
      </c>
      <c r="V368" s="26" t="s">
        <v>109</v>
      </c>
    </row>
    <row r="369" spans="1:22" ht="18" customHeight="1" x14ac:dyDescent="0.3">
      <c r="A369" s="3" t="s">
        <v>1192</v>
      </c>
      <c r="B369" s="3" t="s">
        <v>1193</v>
      </c>
      <c r="C369" s="4" t="s">
        <v>1194</v>
      </c>
      <c r="D369" s="4" t="s">
        <v>24</v>
      </c>
      <c r="E369" s="4" t="s">
        <v>113</v>
      </c>
      <c r="F369" s="4" t="s">
        <v>73</v>
      </c>
      <c r="G369" s="4" t="s">
        <v>74</v>
      </c>
      <c r="H369" s="4" t="s">
        <v>351</v>
      </c>
      <c r="I369" s="3">
        <v>6</v>
      </c>
      <c r="J369" s="5">
        <v>46237.29</v>
      </c>
      <c r="K369" s="5">
        <v>15</v>
      </c>
      <c r="L369" s="5">
        <v>39301.699999999997</v>
      </c>
      <c r="M369" s="5">
        <v>235810.2</v>
      </c>
      <c r="N369" s="5">
        <v>119303.92</v>
      </c>
      <c r="O369" s="5">
        <v>116506.28</v>
      </c>
      <c r="P369" s="24">
        <v>49.41</v>
      </c>
      <c r="Q369" s="6">
        <v>45454</v>
      </c>
      <c r="R369" s="6">
        <v>45459</v>
      </c>
      <c r="S369" s="4" t="s">
        <v>86</v>
      </c>
      <c r="T369" s="4" t="s">
        <v>56</v>
      </c>
      <c r="U369" s="4" t="s">
        <v>87</v>
      </c>
      <c r="V369" s="4" t="s">
        <v>115</v>
      </c>
    </row>
    <row r="370" spans="1:22" ht="18" customHeight="1" x14ac:dyDescent="0.3">
      <c r="A370" s="25" t="s">
        <v>1195</v>
      </c>
      <c r="B370" s="25" t="s">
        <v>1196</v>
      </c>
      <c r="C370" s="26" t="s">
        <v>1042</v>
      </c>
      <c r="D370" s="26" t="s">
        <v>25</v>
      </c>
      <c r="E370" s="26" t="s">
        <v>107</v>
      </c>
      <c r="F370" s="26" t="s">
        <v>83</v>
      </c>
      <c r="G370" s="26" t="s">
        <v>84</v>
      </c>
      <c r="H370" s="26" t="s">
        <v>287</v>
      </c>
      <c r="I370" s="25">
        <v>6</v>
      </c>
      <c r="J370" s="27">
        <v>36126.39</v>
      </c>
      <c r="K370" s="27">
        <v>0</v>
      </c>
      <c r="L370" s="27">
        <v>36126.39</v>
      </c>
      <c r="M370" s="27">
        <v>216758.34</v>
      </c>
      <c r="N370" s="27">
        <v>133768.20000000001</v>
      </c>
      <c r="O370" s="27">
        <v>82990.14</v>
      </c>
      <c r="P370" s="28">
        <v>38.29</v>
      </c>
      <c r="Q370" s="29">
        <v>45623</v>
      </c>
      <c r="R370" s="29">
        <v>45629</v>
      </c>
      <c r="S370" s="26" t="s">
        <v>55</v>
      </c>
      <c r="T370" s="26" t="s">
        <v>56</v>
      </c>
      <c r="U370" s="26" t="s">
        <v>57</v>
      </c>
      <c r="V370" s="26" t="s">
        <v>120</v>
      </c>
    </row>
    <row r="371" spans="1:22" ht="18" customHeight="1" x14ac:dyDescent="0.3">
      <c r="A371" s="3" t="s">
        <v>1197</v>
      </c>
      <c r="B371" s="3" t="s">
        <v>1198</v>
      </c>
      <c r="C371" s="4" t="s">
        <v>1199</v>
      </c>
      <c r="D371" s="4" t="s">
        <v>9</v>
      </c>
      <c r="E371" s="4" t="s">
        <v>62</v>
      </c>
      <c r="F371" s="4" t="s">
        <v>93</v>
      </c>
      <c r="G371" s="4" t="s">
        <v>94</v>
      </c>
      <c r="H371" s="4" t="s">
        <v>374</v>
      </c>
      <c r="I371" s="3">
        <v>1</v>
      </c>
      <c r="J371" s="5">
        <v>44873.4</v>
      </c>
      <c r="K371" s="5">
        <v>20</v>
      </c>
      <c r="L371" s="5">
        <v>35898.720000000001</v>
      </c>
      <c r="M371" s="5">
        <v>35898.720000000001</v>
      </c>
      <c r="N371" s="5">
        <v>21342.16</v>
      </c>
      <c r="O371" s="5">
        <v>14556.56</v>
      </c>
      <c r="P371" s="24">
        <v>40.549999999999997</v>
      </c>
      <c r="Q371" s="6">
        <v>45491</v>
      </c>
      <c r="R371" s="6">
        <v>45495</v>
      </c>
      <c r="S371" s="4" t="s">
        <v>66</v>
      </c>
      <c r="T371" s="4" t="s">
        <v>56</v>
      </c>
      <c r="U371" s="4" t="s">
        <v>67</v>
      </c>
      <c r="V371" s="4" t="s">
        <v>125</v>
      </c>
    </row>
    <row r="372" spans="1:22" ht="18" customHeight="1" x14ac:dyDescent="0.3">
      <c r="A372" s="25" t="s">
        <v>1200</v>
      </c>
      <c r="B372" s="25" t="s">
        <v>1201</v>
      </c>
      <c r="C372" s="26" t="s">
        <v>229</v>
      </c>
      <c r="D372" s="26" t="s">
        <v>3</v>
      </c>
      <c r="E372" s="26" t="s">
        <v>3</v>
      </c>
      <c r="F372" s="26" t="s">
        <v>52</v>
      </c>
      <c r="G372" s="26" t="s">
        <v>53</v>
      </c>
      <c r="H372" s="26" t="s">
        <v>149</v>
      </c>
      <c r="I372" s="25">
        <v>5</v>
      </c>
      <c r="J372" s="27">
        <v>39368.44</v>
      </c>
      <c r="K372" s="27">
        <v>30</v>
      </c>
      <c r="L372" s="27">
        <v>27557.91</v>
      </c>
      <c r="M372" s="27">
        <v>137789.54999999999</v>
      </c>
      <c r="N372" s="27">
        <v>101577.13</v>
      </c>
      <c r="O372" s="27">
        <v>36212.42</v>
      </c>
      <c r="P372" s="28">
        <v>26.28</v>
      </c>
      <c r="Q372" s="29">
        <v>45223</v>
      </c>
      <c r="R372" s="29">
        <v>45228</v>
      </c>
      <c r="S372" s="26" t="s">
        <v>76</v>
      </c>
      <c r="T372" s="26" t="s">
        <v>56</v>
      </c>
      <c r="U372" s="26" t="s">
        <v>77</v>
      </c>
      <c r="V372" s="26" t="s">
        <v>58</v>
      </c>
    </row>
    <row r="373" spans="1:22" ht="18" customHeight="1" x14ac:dyDescent="0.3">
      <c r="A373" s="3" t="s">
        <v>1202</v>
      </c>
      <c r="B373" s="3" t="s">
        <v>1203</v>
      </c>
      <c r="C373" s="4" t="s">
        <v>106</v>
      </c>
      <c r="D373" s="4" t="s">
        <v>4</v>
      </c>
      <c r="E373" s="4" t="s">
        <v>62</v>
      </c>
      <c r="F373" s="4" t="s">
        <v>63</v>
      </c>
      <c r="G373" s="4" t="s">
        <v>64</v>
      </c>
      <c r="H373" s="4" t="s">
        <v>133</v>
      </c>
      <c r="I373" s="3">
        <v>1</v>
      </c>
      <c r="J373" s="5">
        <v>46870.09</v>
      </c>
      <c r="K373" s="5">
        <v>10</v>
      </c>
      <c r="L373" s="5">
        <v>42183.08</v>
      </c>
      <c r="M373" s="5">
        <v>42183.08</v>
      </c>
      <c r="N373" s="5">
        <v>28285.919999999998</v>
      </c>
      <c r="O373" s="5">
        <v>13897.16</v>
      </c>
      <c r="P373" s="24">
        <v>32.94</v>
      </c>
      <c r="Q373" s="6">
        <v>45625</v>
      </c>
      <c r="R373" s="6">
        <v>45635</v>
      </c>
      <c r="S373" s="4" t="s">
        <v>86</v>
      </c>
      <c r="T373" s="4" t="s">
        <v>102</v>
      </c>
      <c r="U373" s="4" t="s">
        <v>87</v>
      </c>
      <c r="V373" s="4" t="s">
        <v>68</v>
      </c>
    </row>
    <row r="374" spans="1:22" ht="18" customHeight="1" x14ac:dyDescent="0.3">
      <c r="A374" s="25" t="s">
        <v>1204</v>
      </c>
      <c r="B374" s="25" t="s">
        <v>1205</v>
      </c>
      <c r="C374" s="26" t="s">
        <v>1206</v>
      </c>
      <c r="D374" s="26" t="s">
        <v>5</v>
      </c>
      <c r="E374" s="26" t="s">
        <v>72</v>
      </c>
      <c r="F374" s="26" t="s">
        <v>73</v>
      </c>
      <c r="G374" s="26" t="s">
        <v>74</v>
      </c>
      <c r="H374" s="26" t="s">
        <v>319</v>
      </c>
      <c r="I374" s="25">
        <v>3</v>
      </c>
      <c r="J374" s="27">
        <v>13334.66</v>
      </c>
      <c r="K374" s="27">
        <v>0</v>
      </c>
      <c r="L374" s="27">
        <v>13334.66</v>
      </c>
      <c r="M374" s="27">
        <v>40003.980000000003</v>
      </c>
      <c r="N374" s="27">
        <v>29038.43</v>
      </c>
      <c r="O374" s="27">
        <v>10965.55</v>
      </c>
      <c r="P374" s="28">
        <v>27.41</v>
      </c>
      <c r="Q374" s="29">
        <v>45163</v>
      </c>
      <c r="R374" s="29">
        <v>45164</v>
      </c>
      <c r="S374" s="26" t="s">
        <v>55</v>
      </c>
      <c r="T374" s="26" t="s">
        <v>56</v>
      </c>
      <c r="U374" s="26" t="s">
        <v>57</v>
      </c>
      <c r="V374" s="26" t="s">
        <v>78</v>
      </c>
    </row>
    <row r="375" spans="1:22" ht="18" customHeight="1" x14ac:dyDescent="0.3">
      <c r="A375" s="3" t="s">
        <v>1207</v>
      </c>
      <c r="B375" s="3" t="s">
        <v>1208</v>
      </c>
      <c r="C375" s="4" t="s">
        <v>1209</v>
      </c>
      <c r="D375" s="4" t="s">
        <v>6</v>
      </c>
      <c r="E375" s="4" t="s">
        <v>82</v>
      </c>
      <c r="F375" s="4" t="s">
        <v>83</v>
      </c>
      <c r="G375" s="4" t="s">
        <v>84</v>
      </c>
      <c r="H375" s="4" t="s">
        <v>160</v>
      </c>
      <c r="I375" s="3">
        <v>4</v>
      </c>
      <c r="J375" s="5">
        <v>4589.51</v>
      </c>
      <c r="K375" s="5">
        <v>15</v>
      </c>
      <c r="L375" s="5">
        <v>3901.08</v>
      </c>
      <c r="M375" s="5">
        <v>15604.32</v>
      </c>
      <c r="N375" s="5">
        <v>11470.75</v>
      </c>
      <c r="O375" s="5">
        <v>4133.57</v>
      </c>
      <c r="P375" s="24">
        <v>26.49</v>
      </c>
      <c r="Q375" s="6">
        <v>45150</v>
      </c>
      <c r="R375" s="6">
        <v>45157</v>
      </c>
      <c r="S375" s="4" t="s">
        <v>66</v>
      </c>
      <c r="T375" s="4" t="s">
        <v>56</v>
      </c>
      <c r="U375" s="4" t="s">
        <v>67</v>
      </c>
      <c r="V375" s="4" t="s">
        <v>88</v>
      </c>
    </row>
    <row r="376" spans="1:22" ht="18" customHeight="1" x14ac:dyDescent="0.3">
      <c r="A376" s="25" t="s">
        <v>1210</v>
      </c>
      <c r="B376" s="25" t="s">
        <v>1211</v>
      </c>
      <c r="C376" s="26" t="s">
        <v>1212</v>
      </c>
      <c r="D376" s="26" t="s">
        <v>7</v>
      </c>
      <c r="E376" s="26" t="s">
        <v>92</v>
      </c>
      <c r="F376" s="26" t="s">
        <v>93</v>
      </c>
      <c r="G376" s="26" t="s">
        <v>94</v>
      </c>
      <c r="H376" s="26" t="s">
        <v>219</v>
      </c>
      <c r="I376" s="25">
        <v>5</v>
      </c>
      <c r="J376" s="27">
        <v>8549.0499999999993</v>
      </c>
      <c r="K376" s="27">
        <v>10</v>
      </c>
      <c r="L376" s="27">
        <v>7694.14</v>
      </c>
      <c r="M376" s="27">
        <v>38470.699999999997</v>
      </c>
      <c r="N376" s="27">
        <v>23282.53</v>
      </c>
      <c r="O376" s="27">
        <v>15188.17</v>
      </c>
      <c r="P376" s="28">
        <v>39.479999999999997</v>
      </c>
      <c r="Q376" s="29">
        <v>45184</v>
      </c>
      <c r="R376" s="29">
        <v>45186</v>
      </c>
      <c r="S376" s="26" t="s">
        <v>76</v>
      </c>
      <c r="T376" s="26" t="s">
        <v>56</v>
      </c>
      <c r="U376" s="26" t="s">
        <v>77</v>
      </c>
      <c r="V376" s="26" t="s">
        <v>96</v>
      </c>
    </row>
    <row r="377" spans="1:22" ht="18" customHeight="1" x14ac:dyDescent="0.3">
      <c r="A377" s="3" t="s">
        <v>1213</v>
      </c>
      <c r="B377" s="3" t="s">
        <v>1214</v>
      </c>
      <c r="C377" s="4" t="s">
        <v>1215</v>
      </c>
      <c r="D377" s="4" t="s">
        <v>8</v>
      </c>
      <c r="E377" s="4" t="s">
        <v>100</v>
      </c>
      <c r="F377" s="4" t="s">
        <v>52</v>
      </c>
      <c r="G377" s="4" t="s">
        <v>53</v>
      </c>
      <c r="H377" s="4" t="s">
        <v>613</v>
      </c>
      <c r="I377" s="3">
        <v>10</v>
      </c>
      <c r="J377" s="5">
        <v>15898.5</v>
      </c>
      <c r="K377" s="5">
        <v>30</v>
      </c>
      <c r="L377" s="5">
        <v>11128.95</v>
      </c>
      <c r="M377" s="5">
        <v>111289.5</v>
      </c>
      <c r="N377" s="5">
        <v>66330.39</v>
      </c>
      <c r="O377" s="5">
        <v>44959.11</v>
      </c>
      <c r="P377" s="24">
        <v>40.4</v>
      </c>
      <c r="Q377" s="6">
        <v>45565</v>
      </c>
      <c r="R377" s="6">
        <v>45574</v>
      </c>
      <c r="S377" s="4" t="s">
        <v>86</v>
      </c>
      <c r="T377" s="4" t="s">
        <v>56</v>
      </c>
      <c r="U377" s="4" t="s">
        <v>87</v>
      </c>
      <c r="V377" s="4" t="s">
        <v>103</v>
      </c>
    </row>
    <row r="378" spans="1:22" ht="18" customHeight="1" x14ac:dyDescent="0.3">
      <c r="A378" s="25" t="s">
        <v>1216</v>
      </c>
      <c r="B378" s="25" t="s">
        <v>1217</v>
      </c>
      <c r="C378" s="26" t="s">
        <v>656</v>
      </c>
      <c r="D378" s="26" t="s">
        <v>23</v>
      </c>
      <c r="E378" s="26" t="s">
        <v>107</v>
      </c>
      <c r="F378" s="26" t="s">
        <v>63</v>
      </c>
      <c r="G378" s="26" t="s">
        <v>64</v>
      </c>
      <c r="H378" s="26" t="s">
        <v>65</v>
      </c>
      <c r="I378" s="25">
        <v>3</v>
      </c>
      <c r="J378" s="27">
        <v>49740.160000000003</v>
      </c>
      <c r="K378" s="27">
        <v>0</v>
      </c>
      <c r="L378" s="27">
        <v>49740.160000000003</v>
      </c>
      <c r="M378" s="27">
        <v>149220.48000000001</v>
      </c>
      <c r="N378" s="27">
        <v>79133.490000000005</v>
      </c>
      <c r="O378" s="27">
        <v>70086.990000000005</v>
      </c>
      <c r="P378" s="28">
        <v>46.97</v>
      </c>
      <c r="Q378" s="29">
        <v>45323</v>
      </c>
      <c r="R378" s="29">
        <v>45329</v>
      </c>
      <c r="S378" s="26" t="s">
        <v>55</v>
      </c>
      <c r="T378" s="26" t="s">
        <v>235</v>
      </c>
      <c r="U378" s="26" t="s">
        <v>57</v>
      </c>
      <c r="V378" s="26" t="s">
        <v>109</v>
      </c>
    </row>
    <row r="379" spans="1:22" ht="18" customHeight="1" x14ac:dyDescent="0.3">
      <c r="A379" s="3" t="s">
        <v>1218</v>
      </c>
      <c r="B379" s="3" t="s">
        <v>1219</v>
      </c>
      <c r="C379" s="4" t="s">
        <v>1220</v>
      </c>
      <c r="D379" s="4" t="s">
        <v>24</v>
      </c>
      <c r="E379" s="4" t="s">
        <v>113</v>
      </c>
      <c r="F379" s="4" t="s">
        <v>73</v>
      </c>
      <c r="G379" s="4" t="s">
        <v>74</v>
      </c>
      <c r="H379" s="4" t="s">
        <v>156</v>
      </c>
      <c r="I379" s="3">
        <v>7</v>
      </c>
      <c r="J379" s="5">
        <v>45944.06</v>
      </c>
      <c r="K379" s="5">
        <v>10</v>
      </c>
      <c r="L379" s="5">
        <v>41349.65</v>
      </c>
      <c r="M379" s="5">
        <v>289447.55</v>
      </c>
      <c r="N379" s="5">
        <v>186983.23</v>
      </c>
      <c r="O379" s="5">
        <v>102464.32000000001</v>
      </c>
      <c r="P379" s="24">
        <v>35.4</v>
      </c>
      <c r="Q379" s="6">
        <v>45300</v>
      </c>
      <c r="R379" s="6">
        <v>45310</v>
      </c>
      <c r="S379" s="4" t="s">
        <v>66</v>
      </c>
      <c r="T379" s="4" t="s">
        <v>56</v>
      </c>
      <c r="U379" s="4" t="s">
        <v>67</v>
      </c>
      <c r="V379" s="4" t="s">
        <v>115</v>
      </c>
    </row>
    <row r="380" spans="1:22" ht="18" customHeight="1" x14ac:dyDescent="0.3">
      <c r="A380" s="25" t="s">
        <v>1221</v>
      </c>
      <c r="B380" s="25" t="s">
        <v>714</v>
      </c>
      <c r="C380" s="26" t="s">
        <v>1005</v>
      </c>
      <c r="D380" s="26" t="s">
        <v>25</v>
      </c>
      <c r="E380" s="26" t="s">
        <v>107</v>
      </c>
      <c r="F380" s="26" t="s">
        <v>83</v>
      </c>
      <c r="G380" s="26" t="s">
        <v>84</v>
      </c>
      <c r="H380" s="26" t="s">
        <v>407</v>
      </c>
      <c r="I380" s="25">
        <v>9</v>
      </c>
      <c r="J380" s="27">
        <v>37698.769999999997</v>
      </c>
      <c r="K380" s="27">
        <v>15</v>
      </c>
      <c r="L380" s="27">
        <v>32043.95</v>
      </c>
      <c r="M380" s="27">
        <v>288395.55</v>
      </c>
      <c r="N380" s="27">
        <v>205870.22</v>
      </c>
      <c r="O380" s="27">
        <v>82525.33</v>
      </c>
      <c r="P380" s="28">
        <v>28.62</v>
      </c>
      <c r="Q380" s="29">
        <v>45009</v>
      </c>
      <c r="R380" s="29">
        <v>45011</v>
      </c>
      <c r="S380" s="26" t="s">
        <v>76</v>
      </c>
      <c r="T380" s="26" t="s">
        <v>102</v>
      </c>
      <c r="U380" s="26" t="s">
        <v>77</v>
      </c>
      <c r="V380" s="26" t="s">
        <v>120</v>
      </c>
    </row>
    <row r="381" spans="1:22" ht="18" customHeight="1" x14ac:dyDescent="0.3">
      <c r="A381" s="3" t="s">
        <v>1222</v>
      </c>
      <c r="B381" s="3" t="s">
        <v>1223</v>
      </c>
      <c r="C381" s="4" t="s">
        <v>1224</v>
      </c>
      <c r="D381" s="4" t="s">
        <v>9</v>
      </c>
      <c r="E381" s="4" t="s">
        <v>62</v>
      </c>
      <c r="F381" s="4" t="s">
        <v>93</v>
      </c>
      <c r="G381" s="4" t="s">
        <v>94</v>
      </c>
      <c r="H381" s="4" t="s">
        <v>219</v>
      </c>
      <c r="I381" s="3">
        <v>4</v>
      </c>
      <c r="J381" s="5">
        <v>18163.84</v>
      </c>
      <c r="K381" s="5">
        <v>25</v>
      </c>
      <c r="L381" s="5">
        <v>13622.88</v>
      </c>
      <c r="M381" s="5">
        <v>54491.519999999997</v>
      </c>
      <c r="N381" s="5">
        <v>32024.639999999999</v>
      </c>
      <c r="O381" s="5">
        <v>22466.880000000001</v>
      </c>
      <c r="P381" s="24">
        <v>41.23</v>
      </c>
      <c r="Q381" s="6">
        <v>45063</v>
      </c>
      <c r="R381" s="6">
        <v>45066</v>
      </c>
      <c r="S381" s="4" t="s">
        <v>86</v>
      </c>
      <c r="T381" s="4" t="s">
        <v>56</v>
      </c>
      <c r="U381" s="4" t="s">
        <v>87</v>
      </c>
      <c r="V381" s="4" t="s">
        <v>125</v>
      </c>
    </row>
    <row r="382" spans="1:22" ht="18" customHeight="1" x14ac:dyDescent="0.3">
      <c r="A382" s="25" t="s">
        <v>1225</v>
      </c>
      <c r="B382" s="25" t="s">
        <v>1226</v>
      </c>
      <c r="C382" s="26" t="s">
        <v>1227</v>
      </c>
      <c r="D382" s="26" t="s">
        <v>3</v>
      </c>
      <c r="E382" s="26" t="s">
        <v>3</v>
      </c>
      <c r="F382" s="26" t="s">
        <v>52</v>
      </c>
      <c r="G382" s="26" t="s">
        <v>53</v>
      </c>
      <c r="H382" s="26" t="s">
        <v>703</v>
      </c>
      <c r="I382" s="25">
        <v>6</v>
      </c>
      <c r="J382" s="27">
        <v>14413.21</v>
      </c>
      <c r="K382" s="27">
        <v>20</v>
      </c>
      <c r="L382" s="27">
        <v>11530.57</v>
      </c>
      <c r="M382" s="27">
        <v>69183.42</v>
      </c>
      <c r="N382" s="27">
        <v>48608.19</v>
      </c>
      <c r="O382" s="27">
        <v>20575.23</v>
      </c>
      <c r="P382" s="28">
        <v>29.74</v>
      </c>
      <c r="Q382" s="29">
        <v>45409</v>
      </c>
      <c r="R382" s="29">
        <v>45412</v>
      </c>
      <c r="S382" s="26" t="s">
        <v>55</v>
      </c>
      <c r="T382" s="26" t="s">
        <v>56</v>
      </c>
      <c r="U382" s="26" t="s">
        <v>57</v>
      </c>
      <c r="V382" s="26" t="s">
        <v>58</v>
      </c>
    </row>
    <row r="383" spans="1:22" ht="18" customHeight="1" x14ac:dyDescent="0.3">
      <c r="A383" s="3" t="s">
        <v>1228</v>
      </c>
      <c r="B383" s="3" t="s">
        <v>1229</v>
      </c>
      <c r="C383" s="4" t="s">
        <v>1230</v>
      </c>
      <c r="D383" s="4" t="s">
        <v>4</v>
      </c>
      <c r="E383" s="4" t="s">
        <v>62</v>
      </c>
      <c r="F383" s="4" t="s">
        <v>63</v>
      </c>
      <c r="G383" s="4" t="s">
        <v>64</v>
      </c>
      <c r="H383" s="4" t="s">
        <v>207</v>
      </c>
      <c r="I383" s="3">
        <v>9</v>
      </c>
      <c r="J383" s="5">
        <v>27883.25</v>
      </c>
      <c r="K383" s="5">
        <v>30</v>
      </c>
      <c r="L383" s="5">
        <v>19518.27</v>
      </c>
      <c r="M383" s="5">
        <v>175664.43</v>
      </c>
      <c r="N383" s="5">
        <v>95766.35</v>
      </c>
      <c r="O383" s="5">
        <v>79898.080000000002</v>
      </c>
      <c r="P383" s="24">
        <v>45.48</v>
      </c>
      <c r="Q383" s="6">
        <v>45168</v>
      </c>
      <c r="R383" s="6">
        <v>45171</v>
      </c>
      <c r="S383" s="4" t="s">
        <v>66</v>
      </c>
      <c r="T383" s="4" t="s">
        <v>56</v>
      </c>
      <c r="U383" s="4" t="s">
        <v>67</v>
      </c>
      <c r="V383" s="4" t="s">
        <v>68</v>
      </c>
    </row>
    <row r="384" spans="1:22" ht="18" customHeight="1" x14ac:dyDescent="0.3">
      <c r="A384" s="25" t="s">
        <v>1231</v>
      </c>
      <c r="B384" s="25" t="s">
        <v>1232</v>
      </c>
      <c r="C384" s="26" t="s">
        <v>1233</v>
      </c>
      <c r="D384" s="26" t="s">
        <v>5</v>
      </c>
      <c r="E384" s="26" t="s">
        <v>72</v>
      </c>
      <c r="F384" s="26" t="s">
        <v>73</v>
      </c>
      <c r="G384" s="26" t="s">
        <v>74</v>
      </c>
      <c r="H384" s="26" t="s">
        <v>386</v>
      </c>
      <c r="I384" s="25">
        <v>9</v>
      </c>
      <c r="J384" s="27">
        <v>24330.639999999999</v>
      </c>
      <c r="K384" s="27">
        <v>5</v>
      </c>
      <c r="L384" s="27">
        <v>23114.11</v>
      </c>
      <c r="M384" s="27">
        <v>208026.99</v>
      </c>
      <c r="N384" s="27">
        <v>106019.49</v>
      </c>
      <c r="O384" s="27">
        <v>102007.5</v>
      </c>
      <c r="P384" s="28">
        <v>49.04</v>
      </c>
      <c r="Q384" s="29">
        <v>44956</v>
      </c>
      <c r="R384" s="29">
        <v>44961</v>
      </c>
      <c r="S384" s="26" t="s">
        <v>76</v>
      </c>
      <c r="T384" s="26" t="s">
        <v>56</v>
      </c>
      <c r="U384" s="26" t="s">
        <v>77</v>
      </c>
      <c r="V384" s="26" t="s">
        <v>78</v>
      </c>
    </row>
    <row r="385" spans="1:22" ht="18" customHeight="1" x14ac:dyDescent="0.3">
      <c r="A385" s="3" t="s">
        <v>1234</v>
      </c>
      <c r="B385" s="3" t="s">
        <v>1235</v>
      </c>
      <c r="C385" s="4" t="s">
        <v>1236</v>
      </c>
      <c r="D385" s="4" t="s">
        <v>6</v>
      </c>
      <c r="E385" s="4" t="s">
        <v>82</v>
      </c>
      <c r="F385" s="4" t="s">
        <v>83</v>
      </c>
      <c r="G385" s="4" t="s">
        <v>84</v>
      </c>
      <c r="H385" s="4" t="s">
        <v>197</v>
      </c>
      <c r="I385" s="3">
        <v>4</v>
      </c>
      <c r="J385" s="5">
        <v>26359.01</v>
      </c>
      <c r="K385" s="5">
        <v>10</v>
      </c>
      <c r="L385" s="5">
        <v>23723.11</v>
      </c>
      <c r="M385" s="5">
        <v>94892.44</v>
      </c>
      <c r="N385" s="5">
        <v>63639.33</v>
      </c>
      <c r="O385" s="5">
        <v>31253.11</v>
      </c>
      <c r="P385" s="24">
        <v>32.94</v>
      </c>
      <c r="Q385" s="6">
        <v>45329</v>
      </c>
      <c r="R385" s="6">
        <v>45337</v>
      </c>
      <c r="S385" s="4" t="s">
        <v>86</v>
      </c>
      <c r="T385" s="4" t="s">
        <v>56</v>
      </c>
      <c r="U385" s="4" t="s">
        <v>87</v>
      </c>
      <c r="V385" s="4" t="s">
        <v>88</v>
      </c>
    </row>
    <row r="386" spans="1:22" ht="18" customHeight="1" x14ac:dyDescent="0.3">
      <c r="A386" s="25" t="s">
        <v>1237</v>
      </c>
      <c r="B386" s="25" t="s">
        <v>1238</v>
      </c>
      <c r="C386" s="26" t="s">
        <v>1239</v>
      </c>
      <c r="D386" s="26" t="s">
        <v>7</v>
      </c>
      <c r="E386" s="26" t="s">
        <v>92</v>
      </c>
      <c r="F386" s="26" t="s">
        <v>93</v>
      </c>
      <c r="G386" s="26" t="s">
        <v>94</v>
      </c>
      <c r="H386" s="26" t="s">
        <v>1240</v>
      </c>
      <c r="I386" s="25">
        <v>7</v>
      </c>
      <c r="J386" s="27">
        <v>38935.81</v>
      </c>
      <c r="K386" s="27">
        <v>15</v>
      </c>
      <c r="L386" s="27">
        <v>33095.440000000002</v>
      </c>
      <c r="M386" s="27">
        <v>231668.08</v>
      </c>
      <c r="N386" s="27">
        <v>106819.3</v>
      </c>
      <c r="O386" s="27">
        <v>124848.78</v>
      </c>
      <c r="P386" s="28">
        <v>53.89</v>
      </c>
      <c r="Q386" s="29">
        <v>45216</v>
      </c>
      <c r="R386" s="29">
        <v>45219</v>
      </c>
      <c r="S386" s="26" t="s">
        <v>55</v>
      </c>
      <c r="T386" s="26" t="s">
        <v>56</v>
      </c>
      <c r="U386" s="26" t="s">
        <v>57</v>
      </c>
      <c r="V386" s="26" t="s">
        <v>96</v>
      </c>
    </row>
    <row r="387" spans="1:22" ht="18" customHeight="1" x14ac:dyDescent="0.3">
      <c r="A387" s="3" t="s">
        <v>1241</v>
      </c>
      <c r="B387" s="3" t="s">
        <v>1242</v>
      </c>
      <c r="C387" s="4" t="s">
        <v>1243</v>
      </c>
      <c r="D387" s="4" t="s">
        <v>8</v>
      </c>
      <c r="E387" s="4" t="s">
        <v>100</v>
      </c>
      <c r="F387" s="4" t="s">
        <v>52</v>
      </c>
      <c r="G387" s="4" t="s">
        <v>53</v>
      </c>
      <c r="H387" s="4" t="s">
        <v>805</v>
      </c>
      <c r="I387" s="3">
        <v>1</v>
      </c>
      <c r="J387" s="5">
        <v>8532.75</v>
      </c>
      <c r="K387" s="5">
        <v>20</v>
      </c>
      <c r="L387" s="5">
        <v>6826.2</v>
      </c>
      <c r="M387" s="5">
        <v>6826.2</v>
      </c>
      <c r="N387" s="5">
        <v>3450.58</v>
      </c>
      <c r="O387" s="5">
        <v>3375.62</v>
      </c>
      <c r="P387" s="24">
        <v>49.45</v>
      </c>
      <c r="Q387" s="6">
        <v>44964</v>
      </c>
      <c r="R387" s="6">
        <v>44974</v>
      </c>
      <c r="S387" s="4" t="s">
        <v>66</v>
      </c>
      <c r="T387" s="4" t="s">
        <v>56</v>
      </c>
      <c r="U387" s="4" t="s">
        <v>67</v>
      </c>
      <c r="V387" s="4" t="s">
        <v>103</v>
      </c>
    </row>
    <row r="388" spans="1:22" ht="18" customHeight="1" x14ac:dyDescent="0.3">
      <c r="A388" s="25" t="s">
        <v>1244</v>
      </c>
      <c r="B388" s="25" t="s">
        <v>1245</v>
      </c>
      <c r="C388" s="26" t="s">
        <v>1246</v>
      </c>
      <c r="D388" s="26" t="s">
        <v>23</v>
      </c>
      <c r="E388" s="26" t="s">
        <v>107</v>
      </c>
      <c r="F388" s="26" t="s">
        <v>63</v>
      </c>
      <c r="G388" s="26" t="s">
        <v>64</v>
      </c>
      <c r="H388" s="26" t="s">
        <v>451</v>
      </c>
      <c r="I388" s="25">
        <v>10</v>
      </c>
      <c r="J388" s="27">
        <v>47647.57</v>
      </c>
      <c r="K388" s="27">
        <v>5</v>
      </c>
      <c r="L388" s="27">
        <v>45265.19</v>
      </c>
      <c r="M388" s="27">
        <v>452651.9</v>
      </c>
      <c r="N388" s="27">
        <v>230557.75</v>
      </c>
      <c r="O388" s="27">
        <v>222094.15</v>
      </c>
      <c r="P388" s="28">
        <v>49.07</v>
      </c>
      <c r="Q388" s="29">
        <v>45024</v>
      </c>
      <c r="R388" s="29">
        <v>45033</v>
      </c>
      <c r="S388" s="26" t="s">
        <v>76</v>
      </c>
      <c r="T388" s="26" t="s">
        <v>56</v>
      </c>
      <c r="U388" s="26" t="s">
        <v>77</v>
      </c>
      <c r="V388" s="26" t="s">
        <v>109</v>
      </c>
    </row>
    <row r="389" spans="1:22" ht="18" customHeight="1" x14ac:dyDescent="0.3">
      <c r="A389" s="3" t="s">
        <v>1247</v>
      </c>
      <c r="B389" s="3" t="s">
        <v>1248</v>
      </c>
      <c r="C389" s="4" t="s">
        <v>959</v>
      </c>
      <c r="D389" s="4" t="s">
        <v>24</v>
      </c>
      <c r="E389" s="4" t="s">
        <v>113</v>
      </c>
      <c r="F389" s="4" t="s">
        <v>73</v>
      </c>
      <c r="G389" s="4" t="s">
        <v>74</v>
      </c>
      <c r="H389" s="4" t="s">
        <v>386</v>
      </c>
      <c r="I389" s="3">
        <v>4</v>
      </c>
      <c r="J389" s="5">
        <v>48253.17</v>
      </c>
      <c r="K389" s="5">
        <v>20</v>
      </c>
      <c r="L389" s="5">
        <v>38602.54</v>
      </c>
      <c r="M389" s="5">
        <v>154410.16</v>
      </c>
      <c r="N389" s="5">
        <v>115588.3</v>
      </c>
      <c r="O389" s="5">
        <v>38821.86</v>
      </c>
      <c r="P389" s="24">
        <v>25.14</v>
      </c>
      <c r="Q389" s="6">
        <v>45579</v>
      </c>
      <c r="R389" s="6">
        <v>45582</v>
      </c>
      <c r="S389" s="4" t="s">
        <v>86</v>
      </c>
      <c r="T389" s="4" t="s">
        <v>56</v>
      </c>
      <c r="U389" s="4" t="s">
        <v>87</v>
      </c>
      <c r="V389" s="4" t="s">
        <v>115</v>
      </c>
    </row>
    <row r="390" spans="1:22" ht="18" customHeight="1" x14ac:dyDescent="0.3">
      <c r="A390" s="25" t="s">
        <v>1249</v>
      </c>
      <c r="B390" s="25" t="s">
        <v>1250</v>
      </c>
      <c r="C390" s="26" t="s">
        <v>1251</v>
      </c>
      <c r="D390" s="26" t="s">
        <v>25</v>
      </c>
      <c r="E390" s="26" t="s">
        <v>107</v>
      </c>
      <c r="F390" s="26" t="s">
        <v>83</v>
      </c>
      <c r="G390" s="26" t="s">
        <v>84</v>
      </c>
      <c r="H390" s="26" t="s">
        <v>119</v>
      </c>
      <c r="I390" s="25">
        <v>2</v>
      </c>
      <c r="J390" s="27">
        <v>7767.89</v>
      </c>
      <c r="K390" s="27">
        <v>10</v>
      </c>
      <c r="L390" s="27">
        <v>6991.1</v>
      </c>
      <c r="M390" s="27">
        <v>13982.2</v>
      </c>
      <c r="N390" s="27">
        <v>9597.3799999999992</v>
      </c>
      <c r="O390" s="27">
        <v>4384.82</v>
      </c>
      <c r="P390" s="28">
        <v>31.36</v>
      </c>
      <c r="Q390" s="29">
        <v>45069</v>
      </c>
      <c r="R390" s="29">
        <v>45079</v>
      </c>
      <c r="S390" s="26" t="s">
        <v>55</v>
      </c>
      <c r="T390" s="26" t="s">
        <v>56</v>
      </c>
      <c r="U390" s="26" t="s">
        <v>57</v>
      </c>
      <c r="V390" s="26" t="s">
        <v>120</v>
      </c>
    </row>
    <row r="391" spans="1:22" ht="18" customHeight="1" x14ac:dyDescent="0.3">
      <c r="A391" s="3" t="s">
        <v>1252</v>
      </c>
      <c r="B391" s="3" t="s">
        <v>1253</v>
      </c>
      <c r="C391" s="4" t="s">
        <v>1254</v>
      </c>
      <c r="D391" s="4" t="s">
        <v>9</v>
      </c>
      <c r="E391" s="4" t="s">
        <v>62</v>
      </c>
      <c r="F391" s="4" t="s">
        <v>93</v>
      </c>
      <c r="G391" s="4" t="s">
        <v>94</v>
      </c>
      <c r="H391" s="4" t="s">
        <v>1240</v>
      </c>
      <c r="I391" s="3">
        <v>4</v>
      </c>
      <c r="J391" s="5">
        <v>13850.23</v>
      </c>
      <c r="K391" s="5">
        <v>5</v>
      </c>
      <c r="L391" s="5">
        <v>13157.72</v>
      </c>
      <c r="M391" s="5">
        <v>52630.879999999997</v>
      </c>
      <c r="N391" s="5">
        <v>34320.01</v>
      </c>
      <c r="O391" s="5">
        <v>18310.87</v>
      </c>
      <c r="P391" s="24">
        <v>34.79</v>
      </c>
      <c r="Q391" s="6">
        <v>45015</v>
      </c>
      <c r="R391" s="6">
        <v>45024</v>
      </c>
      <c r="S391" s="4" t="s">
        <v>66</v>
      </c>
      <c r="T391" s="4" t="s">
        <v>56</v>
      </c>
      <c r="U391" s="4" t="s">
        <v>67</v>
      </c>
      <c r="V391" s="4" t="s">
        <v>125</v>
      </c>
    </row>
    <row r="392" spans="1:22" ht="18" customHeight="1" x14ac:dyDescent="0.3">
      <c r="A392" s="25" t="s">
        <v>1255</v>
      </c>
      <c r="B392" s="25" t="s">
        <v>1256</v>
      </c>
      <c r="C392" s="26" t="s">
        <v>1257</v>
      </c>
      <c r="D392" s="26" t="s">
        <v>3</v>
      </c>
      <c r="E392" s="26" t="s">
        <v>3</v>
      </c>
      <c r="F392" s="26" t="s">
        <v>52</v>
      </c>
      <c r="G392" s="26" t="s">
        <v>53</v>
      </c>
      <c r="H392" s="26" t="s">
        <v>805</v>
      </c>
      <c r="I392" s="25">
        <v>10</v>
      </c>
      <c r="J392" s="27">
        <v>473.99</v>
      </c>
      <c r="K392" s="27">
        <v>20</v>
      </c>
      <c r="L392" s="27">
        <v>379.19</v>
      </c>
      <c r="M392" s="27">
        <v>3791.9</v>
      </c>
      <c r="N392" s="27">
        <v>2684.55</v>
      </c>
      <c r="O392" s="27">
        <v>1107.3499999999999</v>
      </c>
      <c r="P392" s="28">
        <v>29.2</v>
      </c>
      <c r="Q392" s="29">
        <v>45102</v>
      </c>
      <c r="R392" s="29">
        <v>45105</v>
      </c>
      <c r="S392" s="26" t="s">
        <v>76</v>
      </c>
      <c r="T392" s="26" t="s">
        <v>56</v>
      </c>
      <c r="U392" s="26" t="s">
        <v>77</v>
      </c>
      <c r="V392" s="26" t="s">
        <v>58</v>
      </c>
    </row>
    <row r="393" spans="1:22" ht="18" customHeight="1" x14ac:dyDescent="0.3">
      <c r="A393" s="3" t="s">
        <v>1258</v>
      </c>
      <c r="B393" s="3" t="s">
        <v>1259</v>
      </c>
      <c r="C393" s="4" t="s">
        <v>974</v>
      </c>
      <c r="D393" s="4" t="s">
        <v>4</v>
      </c>
      <c r="E393" s="4" t="s">
        <v>62</v>
      </c>
      <c r="F393" s="4" t="s">
        <v>63</v>
      </c>
      <c r="G393" s="4" t="s">
        <v>64</v>
      </c>
      <c r="H393" s="4" t="s">
        <v>690</v>
      </c>
      <c r="I393" s="3">
        <v>6</v>
      </c>
      <c r="J393" s="5">
        <v>21415.46</v>
      </c>
      <c r="K393" s="5">
        <v>15</v>
      </c>
      <c r="L393" s="5">
        <v>18203.14</v>
      </c>
      <c r="M393" s="5">
        <v>109218.84</v>
      </c>
      <c r="N393" s="5">
        <v>74113.16</v>
      </c>
      <c r="O393" s="5">
        <v>35105.68</v>
      </c>
      <c r="P393" s="24">
        <v>32.14</v>
      </c>
      <c r="Q393" s="6">
        <v>45455</v>
      </c>
      <c r="R393" s="6">
        <v>45465</v>
      </c>
      <c r="S393" s="4" t="s">
        <v>86</v>
      </c>
      <c r="T393" s="4" t="s">
        <v>56</v>
      </c>
      <c r="U393" s="4" t="s">
        <v>87</v>
      </c>
      <c r="V393" s="4" t="s">
        <v>68</v>
      </c>
    </row>
    <row r="394" spans="1:22" ht="18" customHeight="1" x14ac:dyDescent="0.3">
      <c r="A394" s="25" t="s">
        <v>1260</v>
      </c>
      <c r="B394" s="25" t="s">
        <v>1261</v>
      </c>
      <c r="C394" s="26" t="s">
        <v>1262</v>
      </c>
      <c r="D394" s="26" t="s">
        <v>5</v>
      </c>
      <c r="E394" s="26" t="s">
        <v>72</v>
      </c>
      <c r="F394" s="26" t="s">
        <v>73</v>
      </c>
      <c r="G394" s="26" t="s">
        <v>74</v>
      </c>
      <c r="H394" s="26" t="s">
        <v>796</v>
      </c>
      <c r="I394" s="25">
        <v>7</v>
      </c>
      <c r="J394" s="27">
        <v>44851.71</v>
      </c>
      <c r="K394" s="27">
        <v>5</v>
      </c>
      <c r="L394" s="27">
        <v>42609.120000000003</v>
      </c>
      <c r="M394" s="27">
        <v>298263.84000000003</v>
      </c>
      <c r="N394" s="27">
        <v>185707.89</v>
      </c>
      <c r="O394" s="27">
        <v>112555.95</v>
      </c>
      <c r="P394" s="28">
        <v>37.74</v>
      </c>
      <c r="Q394" s="29">
        <v>45038</v>
      </c>
      <c r="R394" s="29">
        <v>45042</v>
      </c>
      <c r="S394" s="26" t="s">
        <v>55</v>
      </c>
      <c r="T394" s="26" t="s">
        <v>56</v>
      </c>
      <c r="U394" s="26" t="s">
        <v>57</v>
      </c>
      <c r="V394" s="26" t="s">
        <v>78</v>
      </c>
    </row>
    <row r="395" spans="1:22" ht="18" customHeight="1" x14ac:dyDescent="0.3">
      <c r="A395" s="3" t="s">
        <v>1263</v>
      </c>
      <c r="B395" s="3" t="s">
        <v>1264</v>
      </c>
      <c r="C395" s="4" t="s">
        <v>1265</v>
      </c>
      <c r="D395" s="4" t="s">
        <v>6</v>
      </c>
      <c r="E395" s="4" t="s">
        <v>82</v>
      </c>
      <c r="F395" s="4" t="s">
        <v>83</v>
      </c>
      <c r="G395" s="4" t="s">
        <v>84</v>
      </c>
      <c r="H395" s="4" t="s">
        <v>566</v>
      </c>
      <c r="I395" s="3">
        <v>6</v>
      </c>
      <c r="J395" s="5">
        <v>19079.68</v>
      </c>
      <c r="K395" s="5">
        <v>0</v>
      </c>
      <c r="L395" s="5">
        <v>19079.68</v>
      </c>
      <c r="M395" s="5">
        <v>114478.08</v>
      </c>
      <c r="N395" s="5">
        <v>76618.720000000001</v>
      </c>
      <c r="O395" s="5">
        <v>37859.360000000001</v>
      </c>
      <c r="P395" s="24">
        <v>33.07</v>
      </c>
      <c r="Q395" s="6">
        <v>45534</v>
      </c>
      <c r="R395" s="6">
        <v>45543</v>
      </c>
      <c r="S395" s="4" t="s">
        <v>66</v>
      </c>
      <c r="T395" s="4" t="s">
        <v>56</v>
      </c>
      <c r="U395" s="4" t="s">
        <v>67</v>
      </c>
      <c r="V395" s="4" t="s">
        <v>88</v>
      </c>
    </row>
    <row r="396" spans="1:22" ht="18" customHeight="1" x14ac:dyDescent="0.3">
      <c r="A396" s="25" t="s">
        <v>1266</v>
      </c>
      <c r="B396" s="25" t="s">
        <v>1267</v>
      </c>
      <c r="C396" s="26" t="s">
        <v>1268</v>
      </c>
      <c r="D396" s="26" t="s">
        <v>7</v>
      </c>
      <c r="E396" s="26" t="s">
        <v>92</v>
      </c>
      <c r="F396" s="26" t="s">
        <v>93</v>
      </c>
      <c r="G396" s="26" t="s">
        <v>94</v>
      </c>
      <c r="H396" s="26" t="s">
        <v>1269</v>
      </c>
      <c r="I396" s="25">
        <v>3</v>
      </c>
      <c r="J396" s="27">
        <v>731.15</v>
      </c>
      <c r="K396" s="27">
        <v>10</v>
      </c>
      <c r="L396" s="27">
        <v>658.03</v>
      </c>
      <c r="M396" s="27">
        <v>1974.09</v>
      </c>
      <c r="N396" s="27">
        <v>1335.12</v>
      </c>
      <c r="O396" s="27">
        <v>638.97</v>
      </c>
      <c r="P396" s="28">
        <v>32.369999999999997</v>
      </c>
      <c r="Q396" s="29">
        <v>45605</v>
      </c>
      <c r="R396" s="29">
        <v>45614</v>
      </c>
      <c r="S396" s="26" t="s">
        <v>76</v>
      </c>
      <c r="T396" s="26" t="s">
        <v>56</v>
      </c>
      <c r="U396" s="26" t="s">
        <v>77</v>
      </c>
      <c r="V396" s="26" t="s">
        <v>96</v>
      </c>
    </row>
    <row r="397" spans="1:22" ht="18" customHeight="1" x14ac:dyDescent="0.3">
      <c r="A397" s="3" t="s">
        <v>1270</v>
      </c>
      <c r="B397" s="3" t="s">
        <v>1271</v>
      </c>
      <c r="C397" s="4" t="s">
        <v>1272</v>
      </c>
      <c r="D397" s="4" t="s">
        <v>8</v>
      </c>
      <c r="E397" s="4" t="s">
        <v>100</v>
      </c>
      <c r="F397" s="4" t="s">
        <v>52</v>
      </c>
      <c r="G397" s="4" t="s">
        <v>53</v>
      </c>
      <c r="H397" s="4" t="s">
        <v>277</v>
      </c>
      <c r="I397" s="3">
        <v>3</v>
      </c>
      <c r="J397" s="5">
        <v>43168.71</v>
      </c>
      <c r="K397" s="5">
        <v>0</v>
      </c>
      <c r="L397" s="5">
        <v>43168.71</v>
      </c>
      <c r="M397" s="5">
        <v>129506.13</v>
      </c>
      <c r="N397" s="5">
        <v>93199.09</v>
      </c>
      <c r="O397" s="5">
        <v>36307.040000000001</v>
      </c>
      <c r="P397" s="24">
        <v>28.03</v>
      </c>
      <c r="Q397" s="6">
        <v>45587</v>
      </c>
      <c r="R397" s="6">
        <v>45596</v>
      </c>
      <c r="S397" s="4" t="s">
        <v>86</v>
      </c>
      <c r="T397" s="4" t="s">
        <v>56</v>
      </c>
      <c r="U397" s="4" t="s">
        <v>87</v>
      </c>
      <c r="V397" s="4" t="s">
        <v>103</v>
      </c>
    </row>
    <row r="398" spans="1:22" ht="18" customHeight="1" x14ac:dyDescent="0.3">
      <c r="A398" s="25" t="s">
        <v>1273</v>
      </c>
      <c r="B398" s="25" t="s">
        <v>676</v>
      </c>
      <c r="C398" s="26" t="s">
        <v>1274</v>
      </c>
      <c r="D398" s="26" t="s">
        <v>23</v>
      </c>
      <c r="E398" s="26" t="s">
        <v>107</v>
      </c>
      <c r="F398" s="26" t="s">
        <v>63</v>
      </c>
      <c r="G398" s="26" t="s">
        <v>64</v>
      </c>
      <c r="H398" s="26" t="s">
        <v>226</v>
      </c>
      <c r="I398" s="25">
        <v>10</v>
      </c>
      <c r="J398" s="27">
        <v>21263.7</v>
      </c>
      <c r="K398" s="27">
        <v>10</v>
      </c>
      <c r="L398" s="27">
        <v>19137.330000000002</v>
      </c>
      <c r="M398" s="27">
        <v>191373.3</v>
      </c>
      <c r="N398" s="27">
        <v>101233.66</v>
      </c>
      <c r="O398" s="27">
        <v>90139.64</v>
      </c>
      <c r="P398" s="28">
        <v>47.1</v>
      </c>
      <c r="Q398" s="29">
        <v>45576</v>
      </c>
      <c r="R398" s="29">
        <v>45585</v>
      </c>
      <c r="S398" s="26" t="s">
        <v>55</v>
      </c>
      <c r="T398" s="26" t="s">
        <v>56</v>
      </c>
      <c r="U398" s="26" t="s">
        <v>57</v>
      </c>
      <c r="V398" s="26" t="s">
        <v>109</v>
      </c>
    </row>
    <row r="399" spans="1:22" ht="18" customHeight="1" x14ac:dyDescent="0.3">
      <c r="A399" s="3" t="s">
        <v>1275</v>
      </c>
      <c r="B399" s="3" t="s">
        <v>1276</v>
      </c>
      <c r="C399" s="4" t="s">
        <v>1277</v>
      </c>
      <c r="D399" s="4" t="s">
        <v>24</v>
      </c>
      <c r="E399" s="4" t="s">
        <v>113</v>
      </c>
      <c r="F399" s="4" t="s">
        <v>73</v>
      </c>
      <c r="G399" s="4" t="s">
        <v>74</v>
      </c>
      <c r="H399" s="4" t="s">
        <v>420</v>
      </c>
      <c r="I399" s="3">
        <v>4</v>
      </c>
      <c r="J399" s="5">
        <v>16168.13</v>
      </c>
      <c r="K399" s="5">
        <v>5</v>
      </c>
      <c r="L399" s="5">
        <v>15359.72</v>
      </c>
      <c r="M399" s="5">
        <v>61438.879999999997</v>
      </c>
      <c r="N399" s="5">
        <v>28355.56</v>
      </c>
      <c r="O399" s="5">
        <v>33083.32</v>
      </c>
      <c r="P399" s="24">
        <v>53.85</v>
      </c>
      <c r="Q399" s="6">
        <v>45443</v>
      </c>
      <c r="R399" s="6">
        <v>45444</v>
      </c>
      <c r="S399" s="4" t="s">
        <v>66</v>
      </c>
      <c r="T399" s="4" t="s">
        <v>56</v>
      </c>
      <c r="U399" s="4" t="s">
        <v>67</v>
      </c>
      <c r="V399" s="4" t="s">
        <v>115</v>
      </c>
    </row>
    <row r="400" spans="1:22" ht="18" customHeight="1" x14ac:dyDescent="0.3">
      <c r="A400" s="25" t="s">
        <v>1278</v>
      </c>
      <c r="B400" s="25" t="s">
        <v>1279</v>
      </c>
      <c r="C400" s="26" t="s">
        <v>155</v>
      </c>
      <c r="D400" s="26" t="s">
        <v>25</v>
      </c>
      <c r="E400" s="26" t="s">
        <v>107</v>
      </c>
      <c r="F400" s="26" t="s">
        <v>83</v>
      </c>
      <c r="G400" s="26" t="s">
        <v>84</v>
      </c>
      <c r="H400" s="26" t="s">
        <v>522</v>
      </c>
      <c r="I400" s="25">
        <v>1</v>
      </c>
      <c r="J400" s="27">
        <v>6342.08</v>
      </c>
      <c r="K400" s="27">
        <v>0</v>
      </c>
      <c r="L400" s="27">
        <v>6342.08</v>
      </c>
      <c r="M400" s="27">
        <v>6342.08</v>
      </c>
      <c r="N400" s="27">
        <v>3421.43</v>
      </c>
      <c r="O400" s="27">
        <v>2920.65</v>
      </c>
      <c r="P400" s="28">
        <v>46.05</v>
      </c>
      <c r="Q400" s="29">
        <v>45484</v>
      </c>
      <c r="R400" s="29">
        <v>45490</v>
      </c>
      <c r="S400" s="26" t="s">
        <v>76</v>
      </c>
      <c r="T400" s="26" t="s">
        <v>56</v>
      </c>
      <c r="U400" s="26" t="s">
        <v>77</v>
      </c>
      <c r="V400" s="26" t="s">
        <v>120</v>
      </c>
    </row>
    <row r="401" spans="1:22" ht="18" customHeight="1" x14ac:dyDescent="0.3">
      <c r="A401" s="3" t="s">
        <v>1280</v>
      </c>
      <c r="B401" s="3" t="s">
        <v>538</v>
      </c>
      <c r="C401" s="4" t="s">
        <v>1281</v>
      </c>
      <c r="D401" s="4" t="s">
        <v>9</v>
      </c>
      <c r="E401" s="4" t="s">
        <v>62</v>
      </c>
      <c r="F401" s="4" t="s">
        <v>93</v>
      </c>
      <c r="G401" s="4" t="s">
        <v>94</v>
      </c>
      <c r="H401" s="4" t="s">
        <v>95</v>
      </c>
      <c r="I401" s="3">
        <v>10</v>
      </c>
      <c r="J401" s="5">
        <v>33101.1</v>
      </c>
      <c r="K401" s="5">
        <v>15</v>
      </c>
      <c r="L401" s="5">
        <v>28135.93</v>
      </c>
      <c r="M401" s="5">
        <v>281359.3</v>
      </c>
      <c r="N401" s="5">
        <v>158353.13</v>
      </c>
      <c r="O401" s="5">
        <v>123006.17</v>
      </c>
      <c r="P401" s="24">
        <v>43.72</v>
      </c>
      <c r="Q401" s="6">
        <v>45224</v>
      </c>
      <c r="R401" s="6">
        <v>45225</v>
      </c>
      <c r="S401" s="4" t="s">
        <v>86</v>
      </c>
      <c r="T401" s="4" t="s">
        <v>56</v>
      </c>
      <c r="U401" s="4" t="s">
        <v>87</v>
      </c>
      <c r="V401" s="4" t="s">
        <v>125</v>
      </c>
    </row>
    <row r="402" spans="1:22" ht="18" customHeight="1" x14ac:dyDescent="0.3">
      <c r="A402" s="25" t="s">
        <v>1282</v>
      </c>
      <c r="B402" s="25" t="s">
        <v>232</v>
      </c>
      <c r="C402" s="26" t="s">
        <v>1243</v>
      </c>
      <c r="D402" s="26" t="s">
        <v>3</v>
      </c>
      <c r="E402" s="26" t="s">
        <v>3</v>
      </c>
      <c r="F402" s="26" t="s">
        <v>52</v>
      </c>
      <c r="G402" s="26" t="s">
        <v>53</v>
      </c>
      <c r="H402" s="26" t="s">
        <v>613</v>
      </c>
      <c r="I402" s="25">
        <v>3</v>
      </c>
      <c r="J402" s="27">
        <v>31469.02</v>
      </c>
      <c r="K402" s="27">
        <v>0</v>
      </c>
      <c r="L402" s="27">
        <v>31469.02</v>
      </c>
      <c r="M402" s="27">
        <v>94407.06</v>
      </c>
      <c r="N402" s="27">
        <v>68757.320000000007</v>
      </c>
      <c r="O402" s="27">
        <v>25649.74</v>
      </c>
      <c r="P402" s="28">
        <v>27.17</v>
      </c>
      <c r="Q402" s="29">
        <v>45050</v>
      </c>
      <c r="R402" s="29">
        <v>45053</v>
      </c>
      <c r="S402" s="26" t="s">
        <v>55</v>
      </c>
      <c r="T402" s="26" t="s">
        <v>56</v>
      </c>
      <c r="U402" s="26" t="s">
        <v>57</v>
      </c>
      <c r="V402" s="26" t="s">
        <v>58</v>
      </c>
    </row>
    <row r="403" spans="1:22" ht="18" customHeight="1" x14ac:dyDescent="0.3">
      <c r="A403" s="3" t="s">
        <v>1283</v>
      </c>
      <c r="B403" s="3" t="s">
        <v>1284</v>
      </c>
      <c r="C403" s="4" t="s">
        <v>1285</v>
      </c>
      <c r="D403" s="4" t="s">
        <v>4</v>
      </c>
      <c r="E403" s="4" t="s">
        <v>62</v>
      </c>
      <c r="F403" s="4" t="s">
        <v>63</v>
      </c>
      <c r="G403" s="4" t="s">
        <v>64</v>
      </c>
      <c r="H403" s="4" t="s">
        <v>65</v>
      </c>
      <c r="I403" s="3">
        <v>5</v>
      </c>
      <c r="J403" s="5">
        <v>24246.09</v>
      </c>
      <c r="K403" s="5">
        <v>20</v>
      </c>
      <c r="L403" s="5">
        <v>19396.87</v>
      </c>
      <c r="M403" s="5">
        <v>96984.35</v>
      </c>
      <c r="N403" s="5">
        <v>58135.99</v>
      </c>
      <c r="O403" s="5">
        <v>38848.36</v>
      </c>
      <c r="P403" s="24">
        <v>40.06</v>
      </c>
      <c r="Q403" s="6">
        <v>45007</v>
      </c>
      <c r="R403" s="6">
        <v>45008</v>
      </c>
      <c r="S403" s="4" t="s">
        <v>66</v>
      </c>
      <c r="T403" s="4" t="s">
        <v>56</v>
      </c>
      <c r="U403" s="4" t="s">
        <v>67</v>
      </c>
      <c r="V403" s="4" t="s">
        <v>68</v>
      </c>
    </row>
    <row r="404" spans="1:22" ht="18" customHeight="1" x14ac:dyDescent="0.3">
      <c r="A404" s="25" t="s">
        <v>1286</v>
      </c>
      <c r="B404" s="25" t="s">
        <v>1287</v>
      </c>
      <c r="C404" s="26" t="s">
        <v>995</v>
      </c>
      <c r="D404" s="26" t="s">
        <v>5</v>
      </c>
      <c r="E404" s="26" t="s">
        <v>72</v>
      </c>
      <c r="F404" s="26" t="s">
        <v>73</v>
      </c>
      <c r="G404" s="26" t="s">
        <v>74</v>
      </c>
      <c r="H404" s="26" t="s">
        <v>420</v>
      </c>
      <c r="I404" s="25">
        <v>1</v>
      </c>
      <c r="J404" s="27">
        <v>8909.9500000000007</v>
      </c>
      <c r="K404" s="27">
        <v>15</v>
      </c>
      <c r="L404" s="27">
        <v>7573.46</v>
      </c>
      <c r="M404" s="27">
        <v>7573.46</v>
      </c>
      <c r="N404" s="27">
        <v>3655.79</v>
      </c>
      <c r="O404" s="27">
        <v>3917.67</v>
      </c>
      <c r="P404" s="28">
        <v>51.73</v>
      </c>
      <c r="Q404" s="29">
        <v>45604</v>
      </c>
      <c r="R404" s="29">
        <v>45609</v>
      </c>
      <c r="S404" s="26" t="s">
        <v>76</v>
      </c>
      <c r="T404" s="26" t="s">
        <v>56</v>
      </c>
      <c r="U404" s="26" t="s">
        <v>77</v>
      </c>
      <c r="V404" s="26" t="s">
        <v>78</v>
      </c>
    </row>
    <row r="405" spans="1:22" ht="18" customHeight="1" x14ac:dyDescent="0.3">
      <c r="A405" s="3" t="s">
        <v>1288</v>
      </c>
      <c r="B405" s="3" t="s">
        <v>1289</v>
      </c>
      <c r="C405" s="4" t="s">
        <v>1290</v>
      </c>
      <c r="D405" s="4" t="s">
        <v>6</v>
      </c>
      <c r="E405" s="4" t="s">
        <v>82</v>
      </c>
      <c r="F405" s="4" t="s">
        <v>83</v>
      </c>
      <c r="G405" s="4" t="s">
        <v>84</v>
      </c>
      <c r="H405" s="4" t="s">
        <v>119</v>
      </c>
      <c r="I405" s="3">
        <v>2</v>
      </c>
      <c r="J405" s="5">
        <v>39588.46</v>
      </c>
      <c r="K405" s="5">
        <v>20</v>
      </c>
      <c r="L405" s="5">
        <v>31670.77</v>
      </c>
      <c r="M405" s="5">
        <v>63341.54</v>
      </c>
      <c r="N405" s="5">
        <v>45203.66</v>
      </c>
      <c r="O405" s="5">
        <v>18137.88</v>
      </c>
      <c r="P405" s="24">
        <v>28.64</v>
      </c>
      <c r="Q405" s="6">
        <v>45145</v>
      </c>
      <c r="R405" s="6">
        <v>45153</v>
      </c>
      <c r="S405" s="4" t="s">
        <v>86</v>
      </c>
      <c r="T405" s="4" t="s">
        <v>56</v>
      </c>
      <c r="U405" s="4" t="s">
        <v>87</v>
      </c>
      <c r="V405" s="4" t="s">
        <v>88</v>
      </c>
    </row>
    <row r="406" spans="1:22" ht="18" customHeight="1" x14ac:dyDescent="0.3">
      <c r="A406" s="25" t="s">
        <v>1291</v>
      </c>
      <c r="B406" s="25" t="s">
        <v>1292</v>
      </c>
      <c r="C406" s="26" t="s">
        <v>971</v>
      </c>
      <c r="D406" s="26" t="s">
        <v>7</v>
      </c>
      <c r="E406" s="26" t="s">
        <v>92</v>
      </c>
      <c r="F406" s="26" t="s">
        <v>93</v>
      </c>
      <c r="G406" s="26" t="s">
        <v>94</v>
      </c>
      <c r="H406" s="26" t="s">
        <v>308</v>
      </c>
      <c r="I406" s="25">
        <v>3</v>
      </c>
      <c r="J406" s="27">
        <v>35801.129999999997</v>
      </c>
      <c r="K406" s="27">
        <v>10</v>
      </c>
      <c r="L406" s="27">
        <v>32221.02</v>
      </c>
      <c r="M406" s="27">
        <v>96663.06</v>
      </c>
      <c r="N406" s="27">
        <v>54835.69</v>
      </c>
      <c r="O406" s="27">
        <v>41827.370000000003</v>
      </c>
      <c r="P406" s="28">
        <v>43.27</v>
      </c>
      <c r="Q406" s="29">
        <v>45147</v>
      </c>
      <c r="R406" s="29">
        <v>45149</v>
      </c>
      <c r="S406" s="26" t="s">
        <v>55</v>
      </c>
      <c r="T406" s="26" t="s">
        <v>56</v>
      </c>
      <c r="U406" s="26" t="s">
        <v>57</v>
      </c>
      <c r="V406" s="26" t="s">
        <v>96</v>
      </c>
    </row>
    <row r="407" spans="1:22" ht="18" customHeight="1" x14ac:dyDescent="0.3">
      <c r="A407" s="3" t="s">
        <v>1293</v>
      </c>
      <c r="B407" s="3" t="s">
        <v>1294</v>
      </c>
      <c r="C407" s="4" t="s">
        <v>755</v>
      </c>
      <c r="D407" s="4" t="s">
        <v>8</v>
      </c>
      <c r="E407" s="4" t="s">
        <v>100</v>
      </c>
      <c r="F407" s="4" t="s">
        <v>52</v>
      </c>
      <c r="G407" s="4" t="s">
        <v>53</v>
      </c>
      <c r="H407" s="4" t="s">
        <v>613</v>
      </c>
      <c r="I407" s="3">
        <v>4</v>
      </c>
      <c r="J407" s="5">
        <v>48209.78</v>
      </c>
      <c r="K407" s="5">
        <v>25</v>
      </c>
      <c r="L407" s="5">
        <v>36157.33</v>
      </c>
      <c r="M407" s="5">
        <v>144629.32</v>
      </c>
      <c r="N407" s="5">
        <v>73072.5</v>
      </c>
      <c r="O407" s="5">
        <v>71556.820000000007</v>
      </c>
      <c r="P407" s="24">
        <v>49.48</v>
      </c>
      <c r="Q407" s="6">
        <v>44996</v>
      </c>
      <c r="R407" s="6">
        <v>44998</v>
      </c>
      <c r="S407" s="4" t="s">
        <v>66</v>
      </c>
      <c r="T407" s="4" t="s">
        <v>56</v>
      </c>
      <c r="U407" s="4" t="s">
        <v>67</v>
      </c>
      <c r="V407" s="4" t="s">
        <v>103</v>
      </c>
    </row>
    <row r="408" spans="1:22" ht="18" customHeight="1" x14ac:dyDescent="0.3">
      <c r="A408" s="25" t="s">
        <v>1295</v>
      </c>
      <c r="B408" s="25" t="s">
        <v>1296</v>
      </c>
      <c r="C408" s="26" t="s">
        <v>1132</v>
      </c>
      <c r="D408" s="26" t="s">
        <v>23</v>
      </c>
      <c r="E408" s="26" t="s">
        <v>107</v>
      </c>
      <c r="F408" s="26" t="s">
        <v>63</v>
      </c>
      <c r="G408" s="26" t="s">
        <v>64</v>
      </c>
      <c r="H408" s="26" t="s">
        <v>347</v>
      </c>
      <c r="I408" s="25">
        <v>4</v>
      </c>
      <c r="J408" s="27">
        <v>43257.919999999998</v>
      </c>
      <c r="K408" s="27">
        <v>30</v>
      </c>
      <c r="L408" s="27">
        <v>30280.54</v>
      </c>
      <c r="M408" s="27">
        <v>121122.16</v>
      </c>
      <c r="N408" s="27">
        <v>56742.97</v>
      </c>
      <c r="O408" s="27">
        <v>64379.19</v>
      </c>
      <c r="P408" s="28">
        <v>53.15</v>
      </c>
      <c r="Q408" s="29">
        <v>45541</v>
      </c>
      <c r="R408" s="29">
        <v>45547</v>
      </c>
      <c r="S408" s="26" t="s">
        <v>76</v>
      </c>
      <c r="T408" s="26" t="s">
        <v>56</v>
      </c>
      <c r="U408" s="26" t="s">
        <v>77</v>
      </c>
      <c r="V408" s="26" t="s">
        <v>109</v>
      </c>
    </row>
    <row r="409" spans="1:22" ht="18" customHeight="1" x14ac:dyDescent="0.3">
      <c r="A409" s="3" t="s">
        <v>1297</v>
      </c>
      <c r="B409" s="3" t="s">
        <v>1298</v>
      </c>
      <c r="C409" s="4" t="s">
        <v>1299</v>
      </c>
      <c r="D409" s="4" t="s">
        <v>24</v>
      </c>
      <c r="E409" s="4" t="s">
        <v>113</v>
      </c>
      <c r="F409" s="4" t="s">
        <v>73</v>
      </c>
      <c r="G409" s="4" t="s">
        <v>74</v>
      </c>
      <c r="H409" s="4" t="s">
        <v>137</v>
      </c>
      <c r="I409" s="3">
        <v>8</v>
      </c>
      <c r="J409" s="5">
        <v>16543.62</v>
      </c>
      <c r="K409" s="5">
        <v>20</v>
      </c>
      <c r="L409" s="5">
        <v>13234.9</v>
      </c>
      <c r="M409" s="5">
        <v>105879.2</v>
      </c>
      <c r="N409" s="5">
        <v>70490.83</v>
      </c>
      <c r="O409" s="5">
        <v>35388.370000000003</v>
      </c>
      <c r="P409" s="24">
        <v>33.42</v>
      </c>
      <c r="Q409" s="6">
        <v>45470</v>
      </c>
      <c r="R409" s="6">
        <v>45477</v>
      </c>
      <c r="S409" s="4" t="s">
        <v>86</v>
      </c>
      <c r="T409" s="4" t="s">
        <v>56</v>
      </c>
      <c r="U409" s="4" t="s">
        <v>87</v>
      </c>
      <c r="V409" s="4" t="s">
        <v>115</v>
      </c>
    </row>
    <row r="410" spans="1:22" ht="18" customHeight="1" x14ac:dyDescent="0.3">
      <c r="A410" s="25" t="s">
        <v>1300</v>
      </c>
      <c r="B410" s="25" t="s">
        <v>90</v>
      </c>
      <c r="C410" s="26" t="s">
        <v>1301</v>
      </c>
      <c r="D410" s="26" t="s">
        <v>25</v>
      </c>
      <c r="E410" s="26" t="s">
        <v>107</v>
      </c>
      <c r="F410" s="26" t="s">
        <v>83</v>
      </c>
      <c r="G410" s="26" t="s">
        <v>84</v>
      </c>
      <c r="H410" s="26" t="s">
        <v>1021</v>
      </c>
      <c r="I410" s="25">
        <v>1</v>
      </c>
      <c r="J410" s="27">
        <v>16958.46</v>
      </c>
      <c r="K410" s="27">
        <v>10</v>
      </c>
      <c r="L410" s="27">
        <v>15262.61</v>
      </c>
      <c r="M410" s="27">
        <v>15262.61</v>
      </c>
      <c r="N410" s="27">
        <v>8802.17</v>
      </c>
      <c r="O410" s="27">
        <v>6460.44</v>
      </c>
      <c r="P410" s="28">
        <v>42.33</v>
      </c>
      <c r="Q410" s="29">
        <v>45004</v>
      </c>
      <c r="R410" s="29">
        <v>45010</v>
      </c>
      <c r="S410" s="26" t="s">
        <v>55</v>
      </c>
      <c r="T410" s="26" t="s">
        <v>56</v>
      </c>
      <c r="U410" s="26" t="s">
        <v>57</v>
      </c>
      <c r="V410" s="26" t="s">
        <v>120</v>
      </c>
    </row>
    <row r="411" spans="1:22" ht="18" customHeight="1" x14ac:dyDescent="0.3">
      <c r="A411" s="3" t="s">
        <v>1302</v>
      </c>
      <c r="B411" s="3" t="s">
        <v>1303</v>
      </c>
      <c r="C411" s="4" t="s">
        <v>1304</v>
      </c>
      <c r="D411" s="4" t="s">
        <v>9</v>
      </c>
      <c r="E411" s="4" t="s">
        <v>62</v>
      </c>
      <c r="F411" s="4" t="s">
        <v>93</v>
      </c>
      <c r="G411" s="4" t="s">
        <v>94</v>
      </c>
      <c r="H411" s="4" t="s">
        <v>1269</v>
      </c>
      <c r="I411" s="3">
        <v>1</v>
      </c>
      <c r="J411" s="5">
        <v>1710.18</v>
      </c>
      <c r="K411" s="5">
        <v>30</v>
      </c>
      <c r="L411" s="5">
        <v>1197.1300000000001</v>
      </c>
      <c r="M411" s="5">
        <v>1197.1300000000001</v>
      </c>
      <c r="N411" s="5">
        <v>839.17</v>
      </c>
      <c r="O411" s="5">
        <v>357.96</v>
      </c>
      <c r="P411" s="24">
        <v>29.9</v>
      </c>
      <c r="Q411" s="6">
        <v>45104</v>
      </c>
      <c r="R411" s="6">
        <v>45112</v>
      </c>
      <c r="S411" s="4" t="s">
        <v>66</v>
      </c>
      <c r="T411" s="4" t="s">
        <v>56</v>
      </c>
      <c r="U411" s="4" t="s">
        <v>67</v>
      </c>
      <c r="V411" s="4" t="s">
        <v>125</v>
      </c>
    </row>
    <row r="412" spans="1:22" ht="18" customHeight="1" x14ac:dyDescent="0.3">
      <c r="A412" s="25" t="s">
        <v>1305</v>
      </c>
      <c r="B412" s="25" t="s">
        <v>1306</v>
      </c>
      <c r="C412" s="26" t="s">
        <v>1307</v>
      </c>
      <c r="D412" s="26" t="s">
        <v>3</v>
      </c>
      <c r="E412" s="26" t="s">
        <v>3</v>
      </c>
      <c r="F412" s="26" t="s">
        <v>52</v>
      </c>
      <c r="G412" s="26" t="s">
        <v>53</v>
      </c>
      <c r="H412" s="26" t="s">
        <v>187</v>
      </c>
      <c r="I412" s="25">
        <v>6</v>
      </c>
      <c r="J412" s="27">
        <v>43838.99</v>
      </c>
      <c r="K412" s="27">
        <v>5</v>
      </c>
      <c r="L412" s="27">
        <v>41647.040000000001</v>
      </c>
      <c r="M412" s="27">
        <v>249882.23999999999</v>
      </c>
      <c r="N412" s="27">
        <v>120910.21</v>
      </c>
      <c r="O412" s="27">
        <v>128972.03</v>
      </c>
      <c r="P412" s="28">
        <v>51.61</v>
      </c>
      <c r="Q412" s="29">
        <v>45346</v>
      </c>
      <c r="R412" s="29">
        <v>45354</v>
      </c>
      <c r="S412" s="26" t="s">
        <v>76</v>
      </c>
      <c r="T412" s="26" t="s">
        <v>235</v>
      </c>
      <c r="U412" s="26" t="s">
        <v>77</v>
      </c>
      <c r="V412" s="26" t="s">
        <v>58</v>
      </c>
    </row>
    <row r="413" spans="1:22" ht="18" customHeight="1" x14ac:dyDescent="0.3">
      <c r="A413" s="3" t="s">
        <v>1308</v>
      </c>
      <c r="B413" s="3" t="s">
        <v>1309</v>
      </c>
      <c r="C413" s="4" t="s">
        <v>1310</v>
      </c>
      <c r="D413" s="4" t="s">
        <v>4</v>
      </c>
      <c r="E413" s="4" t="s">
        <v>62</v>
      </c>
      <c r="F413" s="4" t="s">
        <v>63</v>
      </c>
      <c r="G413" s="4" t="s">
        <v>64</v>
      </c>
      <c r="H413" s="4" t="s">
        <v>108</v>
      </c>
      <c r="I413" s="3">
        <v>9</v>
      </c>
      <c r="J413" s="5">
        <v>6574.44</v>
      </c>
      <c r="K413" s="5">
        <v>25</v>
      </c>
      <c r="L413" s="5">
        <v>4930.83</v>
      </c>
      <c r="M413" s="5">
        <v>44377.47</v>
      </c>
      <c r="N413" s="5">
        <v>25369.19</v>
      </c>
      <c r="O413" s="5">
        <v>19008.28</v>
      </c>
      <c r="P413" s="24">
        <v>42.83</v>
      </c>
      <c r="Q413" s="6">
        <v>44991</v>
      </c>
      <c r="R413" s="6">
        <v>45000</v>
      </c>
      <c r="S413" s="4" t="s">
        <v>86</v>
      </c>
      <c r="T413" s="4" t="s">
        <v>56</v>
      </c>
      <c r="U413" s="4" t="s">
        <v>87</v>
      </c>
      <c r="V413" s="4" t="s">
        <v>68</v>
      </c>
    </row>
    <row r="414" spans="1:22" ht="18" customHeight="1" x14ac:dyDescent="0.3">
      <c r="A414" s="25" t="s">
        <v>1311</v>
      </c>
      <c r="B414" s="25" t="s">
        <v>1312</v>
      </c>
      <c r="C414" s="26" t="s">
        <v>819</v>
      </c>
      <c r="D414" s="26" t="s">
        <v>5</v>
      </c>
      <c r="E414" s="26" t="s">
        <v>72</v>
      </c>
      <c r="F414" s="26" t="s">
        <v>73</v>
      </c>
      <c r="G414" s="26" t="s">
        <v>74</v>
      </c>
      <c r="H414" s="26" t="s">
        <v>230</v>
      </c>
      <c r="I414" s="25">
        <v>2</v>
      </c>
      <c r="J414" s="27">
        <v>45929.72</v>
      </c>
      <c r="K414" s="27">
        <v>0</v>
      </c>
      <c r="L414" s="27">
        <v>45929.72</v>
      </c>
      <c r="M414" s="27">
        <v>91859.44</v>
      </c>
      <c r="N414" s="27">
        <v>62610.879999999997</v>
      </c>
      <c r="O414" s="27">
        <v>29248.560000000001</v>
      </c>
      <c r="P414" s="28">
        <v>31.84</v>
      </c>
      <c r="Q414" s="29">
        <v>45558</v>
      </c>
      <c r="R414" s="29">
        <v>45565</v>
      </c>
      <c r="S414" s="26" t="s">
        <v>55</v>
      </c>
      <c r="T414" s="26" t="s">
        <v>56</v>
      </c>
      <c r="U414" s="26" t="s">
        <v>57</v>
      </c>
      <c r="V414" s="26" t="s">
        <v>78</v>
      </c>
    </row>
    <row r="415" spans="1:22" ht="18" customHeight="1" x14ac:dyDescent="0.3">
      <c r="A415" s="3" t="s">
        <v>1313</v>
      </c>
      <c r="B415" s="3" t="s">
        <v>1314</v>
      </c>
      <c r="C415" s="4" t="s">
        <v>1020</v>
      </c>
      <c r="D415" s="4" t="s">
        <v>6</v>
      </c>
      <c r="E415" s="4" t="s">
        <v>82</v>
      </c>
      <c r="F415" s="4" t="s">
        <v>83</v>
      </c>
      <c r="G415" s="4" t="s">
        <v>84</v>
      </c>
      <c r="H415" s="4" t="s">
        <v>566</v>
      </c>
      <c r="I415" s="3">
        <v>1</v>
      </c>
      <c r="J415" s="5">
        <v>17278.900000000001</v>
      </c>
      <c r="K415" s="5">
        <v>10</v>
      </c>
      <c r="L415" s="5">
        <v>15551.01</v>
      </c>
      <c r="M415" s="5">
        <v>15551.01</v>
      </c>
      <c r="N415" s="5">
        <v>11048.07</v>
      </c>
      <c r="O415" s="5">
        <v>4502.9399999999996</v>
      </c>
      <c r="P415" s="24">
        <v>28.96</v>
      </c>
      <c r="Q415" s="6">
        <v>44968</v>
      </c>
      <c r="R415" s="6">
        <v>44975</v>
      </c>
      <c r="S415" s="4" t="s">
        <v>66</v>
      </c>
      <c r="T415" s="4" t="s">
        <v>56</v>
      </c>
      <c r="U415" s="4" t="s">
        <v>67</v>
      </c>
      <c r="V415" s="4" t="s">
        <v>88</v>
      </c>
    </row>
    <row r="416" spans="1:22" ht="18" customHeight="1" x14ac:dyDescent="0.3">
      <c r="A416" s="25" t="s">
        <v>1315</v>
      </c>
      <c r="B416" s="25" t="s">
        <v>1316</v>
      </c>
      <c r="C416" s="26" t="s">
        <v>1317</v>
      </c>
      <c r="D416" s="26" t="s">
        <v>7</v>
      </c>
      <c r="E416" s="26" t="s">
        <v>92</v>
      </c>
      <c r="F416" s="26" t="s">
        <v>93</v>
      </c>
      <c r="G416" s="26" t="s">
        <v>94</v>
      </c>
      <c r="H416" s="26" t="s">
        <v>95</v>
      </c>
      <c r="I416" s="25">
        <v>10</v>
      </c>
      <c r="J416" s="27">
        <v>13000.19</v>
      </c>
      <c r="K416" s="27">
        <v>30</v>
      </c>
      <c r="L416" s="27">
        <v>9100.1299999999992</v>
      </c>
      <c r="M416" s="27">
        <v>91001.3</v>
      </c>
      <c r="N416" s="27">
        <v>45326.04</v>
      </c>
      <c r="O416" s="27">
        <v>45675.26</v>
      </c>
      <c r="P416" s="28">
        <v>50.19</v>
      </c>
      <c r="Q416" s="29">
        <v>45182</v>
      </c>
      <c r="R416" s="29">
        <v>45192</v>
      </c>
      <c r="S416" s="26" t="s">
        <v>76</v>
      </c>
      <c r="T416" s="26" t="s">
        <v>56</v>
      </c>
      <c r="U416" s="26" t="s">
        <v>77</v>
      </c>
      <c r="V416" s="26" t="s">
        <v>96</v>
      </c>
    </row>
    <row r="417" spans="1:22" ht="18" customHeight="1" x14ac:dyDescent="0.3">
      <c r="A417" s="3" t="s">
        <v>1318</v>
      </c>
      <c r="B417" s="3" t="s">
        <v>1319</v>
      </c>
      <c r="C417" s="4" t="s">
        <v>616</v>
      </c>
      <c r="D417" s="4" t="s">
        <v>8</v>
      </c>
      <c r="E417" s="4" t="s">
        <v>100</v>
      </c>
      <c r="F417" s="4" t="s">
        <v>52</v>
      </c>
      <c r="G417" s="4" t="s">
        <v>53</v>
      </c>
      <c r="H417" s="4" t="s">
        <v>312</v>
      </c>
      <c r="I417" s="3">
        <v>4</v>
      </c>
      <c r="J417" s="5">
        <v>22271.95</v>
      </c>
      <c r="K417" s="5">
        <v>20</v>
      </c>
      <c r="L417" s="5">
        <v>17817.560000000001</v>
      </c>
      <c r="M417" s="5">
        <v>71270.240000000005</v>
      </c>
      <c r="N417" s="5">
        <v>35100.76</v>
      </c>
      <c r="O417" s="5">
        <v>36169.480000000003</v>
      </c>
      <c r="P417" s="24">
        <v>50.75</v>
      </c>
      <c r="Q417" s="6">
        <v>45452</v>
      </c>
      <c r="R417" s="6">
        <v>45457</v>
      </c>
      <c r="S417" s="4" t="s">
        <v>86</v>
      </c>
      <c r="T417" s="4" t="s">
        <v>56</v>
      </c>
      <c r="U417" s="4" t="s">
        <v>87</v>
      </c>
      <c r="V417" s="4" t="s">
        <v>103</v>
      </c>
    </row>
    <row r="418" spans="1:22" ht="18" customHeight="1" x14ac:dyDescent="0.3">
      <c r="A418" s="25" t="s">
        <v>1320</v>
      </c>
      <c r="B418" s="25" t="s">
        <v>1321</v>
      </c>
      <c r="C418" s="26" t="s">
        <v>1322</v>
      </c>
      <c r="D418" s="26" t="s">
        <v>23</v>
      </c>
      <c r="E418" s="26" t="s">
        <v>107</v>
      </c>
      <c r="F418" s="26" t="s">
        <v>63</v>
      </c>
      <c r="G418" s="26" t="s">
        <v>64</v>
      </c>
      <c r="H418" s="26" t="s">
        <v>382</v>
      </c>
      <c r="I418" s="25">
        <v>10</v>
      </c>
      <c r="J418" s="27">
        <v>28407.19</v>
      </c>
      <c r="K418" s="27">
        <v>15</v>
      </c>
      <c r="L418" s="27">
        <v>24146.11</v>
      </c>
      <c r="M418" s="27">
        <v>241461.1</v>
      </c>
      <c r="N418" s="27">
        <v>111500.82</v>
      </c>
      <c r="O418" s="27">
        <v>129960.28</v>
      </c>
      <c r="P418" s="28">
        <v>53.82</v>
      </c>
      <c r="Q418" s="29">
        <v>45575</v>
      </c>
      <c r="R418" s="29">
        <v>45580</v>
      </c>
      <c r="S418" s="26" t="s">
        <v>55</v>
      </c>
      <c r="T418" s="26" t="s">
        <v>56</v>
      </c>
      <c r="U418" s="26" t="s">
        <v>57</v>
      </c>
      <c r="V418" s="26" t="s">
        <v>109</v>
      </c>
    </row>
    <row r="419" spans="1:22" ht="18" customHeight="1" x14ac:dyDescent="0.3">
      <c r="A419" s="3" t="s">
        <v>1323</v>
      </c>
      <c r="B419" s="3" t="s">
        <v>662</v>
      </c>
      <c r="C419" s="4" t="s">
        <v>1324</v>
      </c>
      <c r="D419" s="4" t="s">
        <v>24</v>
      </c>
      <c r="E419" s="4" t="s">
        <v>113</v>
      </c>
      <c r="F419" s="4" t="s">
        <v>73</v>
      </c>
      <c r="G419" s="4" t="s">
        <v>74</v>
      </c>
      <c r="H419" s="4" t="s">
        <v>75</v>
      </c>
      <c r="I419" s="3">
        <v>9</v>
      </c>
      <c r="J419" s="5">
        <v>26975.45</v>
      </c>
      <c r="K419" s="5">
        <v>20</v>
      </c>
      <c r="L419" s="5">
        <v>21580.36</v>
      </c>
      <c r="M419" s="5">
        <v>194223.24</v>
      </c>
      <c r="N419" s="5">
        <v>97691.16</v>
      </c>
      <c r="O419" s="5">
        <v>96532.08</v>
      </c>
      <c r="P419" s="24">
        <v>49.7</v>
      </c>
      <c r="Q419" s="6">
        <v>45614</v>
      </c>
      <c r="R419" s="6">
        <v>45617</v>
      </c>
      <c r="S419" s="4" t="s">
        <v>66</v>
      </c>
      <c r="T419" s="4" t="s">
        <v>56</v>
      </c>
      <c r="U419" s="4" t="s">
        <v>67</v>
      </c>
      <c r="V419" s="4" t="s">
        <v>115</v>
      </c>
    </row>
    <row r="420" spans="1:22" ht="18" customHeight="1" x14ac:dyDescent="0.3">
      <c r="A420" s="25" t="s">
        <v>1325</v>
      </c>
      <c r="B420" s="25" t="s">
        <v>1326</v>
      </c>
      <c r="C420" s="26" t="s">
        <v>259</v>
      </c>
      <c r="D420" s="26" t="s">
        <v>25</v>
      </c>
      <c r="E420" s="26" t="s">
        <v>107</v>
      </c>
      <c r="F420" s="26" t="s">
        <v>83</v>
      </c>
      <c r="G420" s="26" t="s">
        <v>84</v>
      </c>
      <c r="H420" s="26" t="s">
        <v>536</v>
      </c>
      <c r="I420" s="25">
        <v>4</v>
      </c>
      <c r="J420" s="27">
        <v>37357.599999999999</v>
      </c>
      <c r="K420" s="27">
        <v>0</v>
      </c>
      <c r="L420" s="27">
        <v>37357.599999999999</v>
      </c>
      <c r="M420" s="27">
        <v>149430.39999999999</v>
      </c>
      <c r="N420" s="27">
        <v>83327.33</v>
      </c>
      <c r="O420" s="27">
        <v>66103.070000000007</v>
      </c>
      <c r="P420" s="28">
        <v>44.24</v>
      </c>
      <c r="Q420" s="29">
        <v>45326</v>
      </c>
      <c r="R420" s="29">
        <v>45332</v>
      </c>
      <c r="S420" s="26" t="s">
        <v>76</v>
      </c>
      <c r="T420" s="26" t="s">
        <v>56</v>
      </c>
      <c r="U420" s="26" t="s">
        <v>77</v>
      </c>
      <c r="V420" s="26" t="s">
        <v>120</v>
      </c>
    </row>
    <row r="421" spans="1:22" ht="18" customHeight="1" x14ac:dyDescent="0.3">
      <c r="A421" s="3" t="s">
        <v>1327</v>
      </c>
      <c r="B421" s="3" t="s">
        <v>950</v>
      </c>
      <c r="C421" s="4" t="s">
        <v>1328</v>
      </c>
      <c r="D421" s="4" t="s">
        <v>9</v>
      </c>
      <c r="E421" s="4" t="s">
        <v>62</v>
      </c>
      <c r="F421" s="4" t="s">
        <v>93</v>
      </c>
      <c r="G421" s="4" t="s">
        <v>94</v>
      </c>
      <c r="H421" s="4" t="s">
        <v>699</v>
      </c>
      <c r="I421" s="3">
        <v>3</v>
      </c>
      <c r="J421" s="5">
        <v>1887.43</v>
      </c>
      <c r="K421" s="5">
        <v>25</v>
      </c>
      <c r="L421" s="5">
        <v>1415.57</v>
      </c>
      <c r="M421" s="5">
        <v>4246.71</v>
      </c>
      <c r="N421" s="5">
        <v>2596.1999999999998</v>
      </c>
      <c r="O421" s="5">
        <v>1650.51</v>
      </c>
      <c r="P421" s="24">
        <v>38.869999999999997</v>
      </c>
      <c r="Q421" s="6">
        <v>45511</v>
      </c>
      <c r="R421" s="6">
        <v>45520</v>
      </c>
      <c r="S421" s="4" t="s">
        <v>86</v>
      </c>
      <c r="T421" s="4" t="s">
        <v>56</v>
      </c>
      <c r="U421" s="4" t="s">
        <v>87</v>
      </c>
      <c r="V421" s="4" t="s">
        <v>125</v>
      </c>
    </row>
    <row r="422" spans="1:22" ht="18" customHeight="1" x14ac:dyDescent="0.3">
      <c r="A422" s="25" t="s">
        <v>1329</v>
      </c>
      <c r="B422" s="25" t="s">
        <v>1330</v>
      </c>
      <c r="C422" s="26" t="s">
        <v>1331</v>
      </c>
      <c r="D422" s="26" t="s">
        <v>3</v>
      </c>
      <c r="E422" s="26" t="s">
        <v>3</v>
      </c>
      <c r="F422" s="26" t="s">
        <v>52</v>
      </c>
      <c r="G422" s="26" t="s">
        <v>53</v>
      </c>
      <c r="H422" s="26" t="s">
        <v>187</v>
      </c>
      <c r="I422" s="25">
        <v>8</v>
      </c>
      <c r="J422" s="27">
        <v>27706.53</v>
      </c>
      <c r="K422" s="27">
        <v>10</v>
      </c>
      <c r="L422" s="27">
        <v>24935.88</v>
      </c>
      <c r="M422" s="27">
        <v>199487.04</v>
      </c>
      <c r="N422" s="27">
        <v>118344.08</v>
      </c>
      <c r="O422" s="27">
        <v>81142.960000000006</v>
      </c>
      <c r="P422" s="28">
        <v>40.68</v>
      </c>
      <c r="Q422" s="29">
        <v>45211</v>
      </c>
      <c r="R422" s="29">
        <v>45218</v>
      </c>
      <c r="S422" s="26" t="s">
        <v>55</v>
      </c>
      <c r="T422" s="26" t="s">
        <v>56</v>
      </c>
      <c r="U422" s="26" t="s">
        <v>57</v>
      </c>
      <c r="V422" s="26" t="s">
        <v>58</v>
      </c>
    </row>
    <row r="423" spans="1:22" ht="18" customHeight="1" x14ac:dyDescent="0.3">
      <c r="A423" s="3" t="s">
        <v>1332</v>
      </c>
      <c r="B423" s="3" t="s">
        <v>1333</v>
      </c>
      <c r="C423" s="4" t="s">
        <v>1334</v>
      </c>
      <c r="D423" s="4" t="s">
        <v>4</v>
      </c>
      <c r="E423" s="4" t="s">
        <v>62</v>
      </c>
      <c r="F423" s="4" t="s">
        <v>63</v>
      </c>
      <c r="G423" s="4" t="s">
        <v>64</v>
      </c>
      <c r="H423" s="4" t="s">
        <v>171</v>
      </c>
      <c r="I423" s="3">
        <v>6</v>
      </c>
      <c r="J423" s="5">
        <v>43013.36</v>
      </c>
      <c r="K423" s="5">
        <v>0</v>
      </c>
      <c r="L423" s="5">
        <v>43013.36</v>
      </c>
      <c r="M423" s="5">
        <v>258080.16</v>
      </c>
      <c r="N423" s="5">
        <v>155236.29</v>
      </c>
      <c r="O423" s="5">
        <v>102843.87</v>
      </c>
      <c r="P423" s="24">
        <v>39.85</v>
      </c>
      <c r="Q423" s="6">
        <v>45565</v>
      </c>
      <c r="R423" s="6">
        <v>45569</v>
      </c>
      <c r="S423" s="4" t="s">
        <v>66</v>
      </c>
      <c r="T423" s="4" t="s">
        <v>56</v>
      </c>
      <c r="U423" s="4" t="s">
        <v>67</v>
      </c>
      <c r="V423" s="4" t="s">
        <v>68</v>
      </c>
    </row>
    <row r="424" spans="1:22" ht="18" customHeight="1" x14ac:dyDescent="0.3">
      <c r="A424" s="25" t="s">
        <v>1335</v>
      </c>
      <c r="B424" s="25" t="s">
        <v>1336</v>
      </c>
      <c r="C424" s="26" t="s">
        <v>966</v>
      </c>
      <c r="D424" s="26" t="s">
        <v>5</v>
      </c>
      <c r="E424" s="26" t="s">
        <v>72</v>
      </c>
      <c r="F424" s="26" t="s">
        <v>73</v>
      </c>
      <c r="G424" s="26" t="s">
        <v>74</v>
      </c>
      <c r="H424" s="26" t="s">
        <v>137</v>
      </c>
      <c r="I424" s="25">
        <v>8</v>
      </c>
      <c r="J424" s="27">
        <v>29564.55</v>
      </c>
      <c r="K424" s="27">
        <v>5</v>
      </c>
      <c r="L424" s="27">
        <v>28086.32</v>
      </c>
      <c r="M424" s="27">
        <v>224690.56</v>
      </c>
      <c r="N424" s="27">
        <v>104268.74</v>
      </c>
      <c r="O424" s="27">
        <v>120421.82</v>
      </c>
      <c r="P424" s="28">
        <v>53.59</v>
      </c>
      <c r="Q424" s="29">
        <v>45353</v>
      </c>
      <c r="R424" s="29">
        <v>45361</v>
      </c>
      <c r="S424" s="26" t="s">
        <v>76</v>
      </c>
      <c r="T424" s="26" t="s">
        <v>56</v>
      </c>
      <c r="U424" s="26" t="s">
        <v>77</v>
      </c>
      <c r="V424" s="26" t="s">
        <v>78</v>
      </c>
    </row>
    <row r="425" spans="1:22" ht="18" customHeight="1" x14ac:dyDescent="0.3">
      <c r="A425" s="3" t="s">
        <v>1337</v>
      </c>
      <c r="B425" s="3" t="s">
        <v>1338</v>
      </c>
      <c r="C425" s="4" t="s">
        <v>1339</v>
      </c>
      <c r="D425" s="4" t="s">
        <v>6</v>
      </c>
      <c r="E425" s="4" t="s">
        <v>82</v>
      </c>
      <c r="F425" s="4" t="s">
        <v>83</v>
      </c>
      <c r="G425" s="4" t="s">
        <v>84</v>
      </c>
      <c r="H425" s="4" t="s">
        <v>491</v>
      </c>
      <c r="I425" s="3">
        <v>5</v>
      </c>
      <c r="J425" s="5">
        <v>16305.31</v>
      </c>
      <c r="K425" s="5">
        <v>20</v>
      </c>
      <c r="L425" s="5">
        <v>13044.25</v>
      </c>
      <c r="M425" s="5">
        <v>65221.25</v>
      </c>
      <c r="N425" s="5">
        <v>33440.28</v>
      </c>
      <c r="O425" s="5">
        <v>31780.97</v>
      </c>
      <c r="P425" s="24">
        <v>48.73</v>
      </c>
      <c r="Q425" s="6">
        <v>45449</v>
      </c>
      <c r="R425" s="6">
        <v>45459</v>
      </c>
      <c r="S425" s="4" t="s">
        <v>86</v>
      </c>
      <c r="T425" s="4" t="s">
        <v>56</v>
      </c>
      <c r="U425" s="4" t="s">
        <v>87</v>
      </c>
      <c r="V425" s="4" t="s">
        <v>88</v>
      </c>
    </row>
    <row r="426" spans="1:22" ht="18" customHeight="1" x14ac:dyDescent="0.3">
      <c r="A426" s="25" t="s">
        <v>1340</v>
      </c>
      <c r="B426" s="25" t="s">
        <v>1341</v>
      </c>
      <c r="C426" s="26" t="s">
        <v>1342</v>
      </c>
      <c r="D426" s="26" t="s">
        <v>7</v>
      </c>
      <c r="E426" s="26" t="s">
        <v>92</v>
      </c>
      <c r="F426" s="26" t="s">
        <v>93</v>
      </c>
      <c r="G426" s="26" t="s">
        <v>94</v>
      </c>
      <c r="H426" s="26" t="s">
        <v>699</v>
      </c>
      <c r="I426" s="25">
        <v>4</v>
      </c>
      <c r="J426" s="27">
        <v>45857.2</v>
      </c>
      <c r="K426" s="27">
        <v>15</v>
      </c>
      <c r="L426" s="27">
        <v>38978.620000000003</v>
      </c>
      <c r="M426" s="27">
        <v>155914.48000000001</v>
      </c>
      <c r="N426" s="27">
        <v>87346.51</v>
      </c>
      <c r="O426" s="27">
        <v>68567.97</v>
      </c>
      <c r="P426" s="28">
        <v>43.98</v>
      </c>
      <c r="Q426" s="29">
        <v>45441</v>
      </c>
      <c r="R426" s="29">
        <v>45446</v>
      </c>
      <c r="S426" s="26" t="s">
        <v>55</v>
      </c>
      <c r="T426" s="26" t="s">
        <v>102</v>
      </c>
      <c r="U426" s="26" t="s">
        <v>57</v>
      </c>
      <c r="V426" s="26" t="s">
        <v>96</v>
      </c>
    </row>
    <row r="427" spans="1:22" ht="18" customHeight="1" x14ac:dyDescent="0.3">
      <c r="A427" s="3" t="s">
        <v>1343</v>
      </c>
      <c r="B427" s="3" t="s">
        <v>1344</v>
      </c>
      <c r="C427" s="4" t="s">
        <v>1345</v>
      </c>
      <c r="D427" s="4" t="s">
        <v>8</v>
      </c>
      <c r="E427" s="4" t="s">
        <v>100</v>
      </c>
      <c r="F427" s="4" t="s">
        <v>52</v>
      </c>
      <c r="G427" s="4" t="s">
        <v>53</v>
      </c>
      <c r="H427" s="4" t="s">
        <v>657</v>
      </c>
      <c r="I427" s="3">
        <v>8</v>
      </c>
      <c r="J427" s="5">
        <v>5734.45</v>
      </c>
      <c r="K427" s="5">
        <v>25</v>
      </c>
      <c r="L427" s="5">
        <v>4300.84</v>
      </c>
      <c r="M427" s="5">
        <v>34406.720000000001</v>
      </c>
      <c r="N427" s="5">
        <v>20278.93</v>
      </c>
      <c r="O427" s="5">
        <v>14127.79</v>
      </c>
      <c r="P427" s="24">
        <v>41.06</v>
      </c>
      <c r="Q427" s="6">
        <v>45608</v>
      </c>
      <c r="R427" s="6">
        <v>45615</v>
      </c>
      <c r="S427" s="4" t="s">
        <v>66</v>
      </c>
      <c r="T427" s="4" t="s">
        <v>56</v>
      </c>
      <c r="U427" s="4" t="s">
        <v>67</v>
      </c>
      <c r="V427" s="4" t="s">
        <v>103</v>
      </c>
    </row>
    <row r="428" spans="1:22" ht="18" customHeight="1" x14ac:dyDescent="0.3">
      <c r="A428" s="25" t="s">
        <v>1346</v>
      </c>
      <c r="B428" s="25" t="s">
        <v>813</v>
      </c>
      <c r="C428" s="26" t="s">
        <v>1347</v>
      </c>
      <c r="D428" s="26" t="s">
        <v>23</v>
      </c>
      <c r="E428" s="26" t="s">
        <v>107</v>
      </c>
      <c r="F428" s="26" t="s">
        <v>63</v>
      </c>
      <c r="G428" s="26" t="s">
        <v>64</v>
      </c>
      <c r="H428" s="26" t="s">
        <v>226</v>
      </c>
      <c r="I428" s="25">
        <v>9</v>
      </c>
      <c r="J428" s="27">
        <v>27883.21</v>
      </c>
      <c r="K428" s="27">
        <v>25</v>
      </c>
      <c r="L428" s="27">
        <v>20912.41</v>
      </c>
      <c r="M428" s="27">
        <v>188211.69</v>
      </c>
      <c r="N428" s="27">
        <v>103683.56</v>
      </c>
      <c r="O428" s="27">
        <v>84528.13</v>
      </c>
      <c r="P428" s="28">
        <v>44.91</v>
      </c>
      <c r="Q428" s="29">
        <v>45267</v>
      </c>
      <c r="R428" s="29">
        <v>45269</v>
      </c>
      <c r="S428" s="26" t="s">
        <v>76</v>
      </c>
      <c r="T428" s="26" t="s">
        <v>56</v>
      </c>
      <c r="U428" s="26" t="s">
        <v>77</v>
      </c>
      <c r="V428" s="26" t="s">
        <v>109</v>
      </c>
    </row>
    <row r="429" spans="1:22" ht="18" customHeight="1" x14ac:dyDescent="0.3">
      <c r="A429" s="3" t="s">
        <v>1348</v>
      </c>
      <c r="B429" s="3" t="s">
        <v>1349</v>
      </c>
      <c r="C429" s="4" t="s">
        <v>620</v>
      </c>
      <c r="D429" s="4" t="s">
        <v>24</v>
      </c>
      <c r="E429" s="4" t="s">
        <v>113</v>
      </c>
      <c r="F429" s="4" t="s">
        <v>73</v>
      </c>
      <c r="G429" s="4" t="s">
        <v>74</v>
      </c>
      <c r="H429" s="4" t="s">
        <v>114</v>
      </c>
      <c r="I429" s="3">
        <v>3</v>
      </c>
      <c r="J429" s="5">
        <v>2486.2600000000002</v>
      </c>
      <c r="K429" s="5">
        <v>20</v>
      </c>
      <c r="L429" s="5">
        <v>1989.01</v>
      </c>
      <c r="M429" s="5">
        <v>5967.03</v>
      </c>
      <c r="N429" s="5">
        <v>4271.3599999999997</v>
      </c>
      <c r="O429" s="5">
        <v>1695.67</v>
      </c>
      <c r="P429" s="24">
        <v>28.42</v>
      </c>
      <c r="Q429" s="6">
        <v>45480</v>
      </c>
      <c r="R429" s="6">
        <v>45485</v>
      </c>
      <c r="S429" s="4" t="s">
        <v>86</v>
      </c>
      <c r="T429" s="4" t="s">
        <v>56</v>
      </c>
      <c r="U429" s="4" t="s">
        <v>87</v>
      </c>
      <c r="V429" s="4" t="s">
        <v>115</v>
      </c>
    </row>
    <row r="430" spans="1:22" ht="18" customHeight="1" x14ac:dyDescent="0.3">
      <c r="A430" s="25" t="s">
        <v>1350</v>
      </c>
      <c r="B430" s="25" t="s">
        <v>428</v>
      </c>
      <c r="C430" s="26" t="s">
        <v>91</v>
      </c>
      <c r="D430" s="26" t="s">
        <v>25</v>
      </c>
      <c r="E430" s="26" t="s">
        <v>107</v>
      </c>
      <c r="F430" s="26" t="s">
        <v>83</v>
      </c>
      <c r="G430" s="26" t="s">
        <v>84</v>
      </c>
      <c r="H430" s="26" t="s">
        <v>215</v>
      </c>
      <c r="I430" s="25">
        <v>2</v>
      </c>
      <c r="J430" s="27">
        <v>7478.81</v>
      </c>
      <c r="K430" s="27">
        <v>25</v>
      </c>
      <c r="L430" s="27">
        <v>5609.11</v>
      </c>
      <c r="M430" s="27">
        <v>11218.22</v>
      </c>
      <c r="N430" s="27">
        <v>6155.78</v>
      </c>
      <c r="O430" s="27">
        <v>5062.4399999999996</v>
      </c>
      <c r="P430" s="28">
        <v>45.13</v>
      </c>
      <c r="Q430" s="29">
        <v>45449</v>
      </c>
      <c r="R430" s="29">
        <v>45454</v>
      </c>
      <c r="S430" s="26" t="s">
        <v>55</v>
      </c>
      <c r="T430" s="26" t="s">
        <v>56</v>
      </c>
      <c r="U430" s="26" t="s">
        <v>57</v>
      </c>
      <c r="V430" s="26" t="s">
        <v>120</v>
      </c>
    </row>
    <row r="431" spans="1:22" ht="18" customHeight="1" x14ac:dyDescent="0.3">
      <c r="A431" s="3" t="s">
        <v>1351</v>
      </c>
      <c r="B431" s="3" t="s">
        <v>1352</v>
      </c>
      <c r="C431" s="4" t="s">
        <v>1353</v>
      </c>
      <c r="D431" s="4" t="s">
        <v>9</v>
      </c>
      <c r="E431" s="4" t="s">
        <v>62</v>
      </c>
      <c r="F431" s="4" t="s">
        <v>93</v>
      </c>
      <c r="G431" s="4" t="s">
        <v>94</v>
      </c>
      <c r="H431" s="4" t="s">
        <v>393</v>
      </c>
      <c r="I431" s="3">
        <v>3</v>
      </c>
      <c r="J431" s="5">
        <v>21835.57</v>
      </c>
      <c r="K431" s="5">
        <v>15</v>
      </c>
      <c r="L431" s="5">
        <v>18560.23</v>
      </c>
      <c r="M431" s="5">
        <v>55680.69</v>
      </c>
      <c r="N431" s="5">
        <v>38772.949999999997</v>
      </c>
      <c r="O431" s="5">
        <v>16907.740000000002</v>
      </c>
      <c r="P431" s="24">
        <v>30.37</v>
      </c>
      <c r="Q431" s="6">
        <v>45208</v>
      </c>
      <c r="R431" s="6">
        <v>45218</v>
      </c>
      <c r="S431" s="4" t="s">
        <v>66</v>
      </c>
      <c r="T431" s="4" t="s">
        <v>56</v>
      </c>
      <c r="U431" s="4" t="s">
        <v>67</v>
      </c>
      <c r="V431" s="4" t="s">
        <v>125</v>
      </c>
    </row>
    <row r="432" spans="1:22" ht="18" customHeight="1" x14ac:dyDescent="0.3">
      <c r="A432" s="25" t="s">
        <v>1354</v>
      </c>
      <c r="B432" s="25" t="s">
        <v>1355</v>
      </c>
      <c r="C432" s="26" t="s">
        <v>170</v>
      </c>
      <c r="D432" s="26" t="s">
        <v>3</v>
      </c>
      <c r="E432" s="26" t="s">
        <v>3</v>
      </c>
      <c r="F432" s="26" t="s">
        <v>52</v>
      </c>
      <c r="G432" s="26" t="s">
        <v>53</v>
      </c>
      <c r="H432" s="26" t="s">
        <v>528</v>
      </c>
      <c r="I432" s="25">
        <v>1</v>
      </c>
      <c r="J432" s="27">
        <v>24997.47</v>
      </c>
      <c r="K432" s="27">
        <v>20</v>
      </c>
      <c r="L432" s="27">
        <v>19997.98</v>
      </c>
      <c r="M432" s="27">
        <v>19997.98</v>
      </c>
      <c r="N432" s="27">
        <v>14125.83</v>
      </c>
      <c r="O432" s="27">
        <v>5872.15</v>
      </c>
      <c r="P432" s="28">
        <v>29.36</v>
      </c>
      <c r="Q432" s="29">
        <v>45481</v>
      </c>
      <c r="R432" s="29">
        <v>45483</v>
      </c>
      <c r="S432" s="26" t="s">
        <v>76</v>
      </c>
      <c r="T432" s="26" t="s">
        <v>56</v>
      </c>
      <c r="U432" s="26" t="s">
        <v>77</v>
      </c>
      <c r="V432" s="26" t="s">
        <v>58</v>
      </c>
    </row>
    <row r="433" spans="1:22" ht="18" customHeight="1" x14ac:dyDescent="0.3">
      <c r="A433" s="3" t="s">
        <v>1356</v>
      </c>
      <c r="B433" s="3" t="s">
        <v>1357</v>
      </c>
      <c r="C433" s="4" t="s">
        <v>1358</v>
      </c>
      <c r="D433" s="4" t="s">
        <v>4</v>
      </c>
      <c r="E433" s="4" t="s">
        <v>62</v>
      </c>
      <c r="F433" s="4" t="s">
        <v>63</v>
      </c>
      <c r="G433" s="4" t="s">
        <v>64</v>
      </c>
      <c r="H433" s="4" t="s">
        <v>171</v>
      </c>
      <c r="I433" s="3">
        <v>6</v>
      </c>
      <c r="J433" s="5">
        <v>40340.239999999998</v>
      </c>
      <c r="K433" s="5">
        <v>10</v>
      </c>
      <c r="L433" s="5">
        <v>36306.22</v>
      </c>
      <c r="M433" s="5">
        <v>217837.32</v>
      </c>
      <c r="N433" s="5">
        <v>120270.88</v>
      </c>
      <c r="O433" s="5">
        <v>97566.44</v>
      </c>
      <c r="P433" s="24">
        <v>44.79</v>
      </c>
      <c r="Q433" s="6">
        <v>45574</v>
      </c>
      <c r="R433" s="6">
        <v>45581</v>
      </c>
      <c r="S433" s="4" t="s">
        <v>86</v>
      </c>
      <c r="T433" s="4" t="s">
        <v>102</v>
      </c>
      <c r="U433" s="4" t="s">
        <v>87</v>
      </c>
      <c r="V433" s="4" t="s">
        <v>68</v>
      </c>
    </row>
    <row r="434" spans="1:22" ht="18" customHeight="1" x14ac:dyDescent="0.3">
      <c r="A434" s="25" t="s">
        <v>1359</v>
      </c>
      <c r="B434" s="25" t="s">
        <v>1360</v>
      </c>
      <c r="C434" s="26" t="s">
        <v>331</v>
      </c>
      <c r="D434" s="26" t="s">
        <v>5</v>
      </c>
      <c r="E434" s="26" t="s">
        <v>72</v>
      </c>
      <c r="F434" s="26" t="s">
        <v>73</v>
      </c>
      <c r="G434" s="26" t="s">
        <v>74</v>
      </c>
      <c r="H434" s="26" t="s">
        <v>781</v>
      </c>
      <c r="I434" s="25">
        <v>6</v>
      </c>
      <c r="J434" s="27">
        <v>4572.0600000000004</v>
      </c>
      <c r="K434" s="27">
        <v>20</v>
      </c>
      <c r="L434" s="27">
        <v>3657.65</v>
      </c>
      <c r="M434" s="27">
        <v>21945.9</v>
      </c>
      <c r="N434" s="27">
        <v>11522.36</v>
      </c>
      <c r="O434" s="27">
        <v>10423.540000000001</v>
      </c>
      <c r="P434" s="28">
        <v>47.5</v>
      </c>
      <c r="Q434" s="29">
        <v>45500</v>
      </c>
      <c r="R434" s="29">
        <v>45503</v>
      </c>
      <c r="S434" s="26" t="s">
        <v>55</v>
      </c>
      <c r="T434" s="26" t="s">
        <v>56</v>
      </c>
      <c r="U434" s="26" t="s">
        <v>57</v>
      </c>
      <c r="V434" s="26" t="s">
        <v>78</v>
      </c>
    </row>
    <row r="435" spans="1:22" ht="18" customHeight="1" x14ac:dyDescent="0.3">
      <c r="A435" s="3" t="s">
        <v>1361</v>
      </c>
      <c r="B435" s="3" t="s">
        <v>1362</v>
      </c>
      <c r="C435" s="4" t="s">
        <v>1363</v>
      </c>
      <c r="D435" s="4" t="s">
        <v>6</v>
      </c>
      <c r="E435" s="4" t="s">
        <v>82</v>
      </c>
      <c r="F435" s="4" t="s">
        <v>83</v>
      </c>
      <c r="G435" s="4" t="s">
        <v>84</v>
      </c>
      <c r="H435" s="4" t="s">
        <v>215</v>
      </c>
      <c r="I435" s="3">
        <v>2</v>
      </c>
      <c r="J435" s="5">
        <v>22696.21</v>
      </c>
      <c r="K435" s="5">
        <v>20</v>
      </c>
      <c r="L435" s="5">
        <v>18156.97</v>
      </c>
      <c r="M435" s="5">
        <v>36313.94</v>
      </c>
      <c r="N435" s="5">
        <v>18128.59</v>
      </c>
      <c r="O435" s="5">
        <v>18185.349999999999</v>
      </c>
      <c r="P435" s="24">
        <v>50.08</v>
      </c>
      <c r="Q435" s="6">
        <v>45099</v>
      </c>
      <c r="R435" s="6">
        <v>45104</v>
      </c>
      <c r="S435" s="4" t="s">
        <v>66</v>
      </c>
      <c r="T435" s="4" t="s">
        <v>56</v>
      </c>
      <c r="U435" s="4" t="s">
        <v>67</v>
      </c>
      <c r="V435" s="4" t="s">
        <v>88</v>
      </c>
    </row>
    <row r="436" spans="1:22" ht="18" customHeight="1" x14ac:dyDescent="0.3">
      <c r="A436" s="25" t="s">
        <v>1364</v>
      </c>
      <c r="B436" s="25" t="s">
        <v>1365</v>
      </c>
      <c r="C436" s="26" t="s">
        <v>1366</v>
      </c>
      <c r="D436" s="26" t="s">
        <v>7</v>
      </c>
      <c r="E436" s="26" t="s">
        <v>92</v>
      </c>
      <c r="F436" s="26" t="s">
        <v>93</v>
      </c>
      <c r="G436" s="26" t="s">
        <v>94</v>
      </c>
      <c r="H436" s="26" t="s">
        <v>625</v>
      </c>
      <c r="I436" s="25">
        <v>2</v>
      </c>
      <c r="J436" s="27">
        <v>4374.51</v>
      </c>
      <c r="K436" s="27">
        <v>30</v>
      </c>
      <c r="L436" s="27">
        <v>3062.16</v>
      </c>
      <c r="M436" s="27">
        <v>6124.32</v>
      </c>
      <c r="N436" s="27">
        <v>4539.6499999999996</v>
      </c>
      <c r="O436" s="27">
        <v>1584.67</v>
      </c>
      <c r="P436" s="28">
        <v>25.88</v>
      </c>
      <c r="Q436" s="29">
        <v>45402</v>
      </c>
      <c r="R436" s="29">
        <v>45411</v>
      </c>
      <c r="S436" s="26" t="s">
        <v>76</v>
      </c>
      <c r="T436" s="26" t="s">
        <v>56</v>
      </c>
      <c r="U436" s="26" t="s">
        <v>77</v>
      </c>
      <c r="V436" s="26" t="s">
        <v>96</v>
      </c>
    </row>
    <row r="437" spans="1:22" ht="18" customHeight="1" x14ac:dyDescent="0.3">
      <c r="A437" s="3" t="s">
        <v>1367</v>
      </c>
      <c r="B437" s="3" t="s">
        <v>1368</v>
      </c>
      <c r="C437" s="4" t="s">
        <v>857</v>
      </c>
      <c r="D437" s="4" t="s">
        <v>8</v>
      </c>
      <c r="E437" s="4" t="s">
        <v>100</v>
      </c>
      <c r="F437" s="4" t="s">
        <v>52</v>
      </c>
      <c r="G437" s="4" t="s">
        <v>53</v>
      </c>
      <c r="H437" s="4" t="s">
        <v>613</v>
      </c>
      <c r="I437" s="3">
        <v>9</v>
      </c>
      <c r="J437" s="5">
        <v>18635.14</v>
      </c>
      <c r="K437" s="5">
        <v>10</v>
      </c>
      <c r="L437" s="5">
        <v>16771.63</v>
      </c>
      <c r="M437" s="5">
        <v>150944.67000000001</v>
      </c>
      <c r="N437" s="5">
        <v>94276.91</v>
      </c>
      <c r="O437" s="5">
        <v>56667.76</v>
      </c>
      <c r="P437" s="24">
        <v>37.54</v>
      </c>
      <c r="Q437" s="6">
        <v>44934</v>
      </c>
      <c r="R437" s="6">
        <v>44935</v>
      </c>
      <c r="S437" s="4" t="s">
        <v>86</v>
      </c>
      <c r="T437" s="4" t="s">
        <v>56</v>
      </c>
      <c r="U437" s="4" t="s">
        <v>87</v>
      </c>
      <c r="V437" s="4" t="s">
        <v>103</v>
      </c>
    </row>
    <row r="438" spans="1:22" ht="18" customHeight="1" x14ac:dyDescent="0.3">
      <c r="A438" s="25" t="s">
        <v>1369</v>
      </c>
      <c r="B438" s="25" t="s">
        <v>1370</v>
      </c>
      <c r="C438" s="26" t="s">
        <v>1371</v>
      </c>
      <c r="D438" s="26" t="s">
        <v>23</v>
      </c>
      <c r="E438" s="26" t="s">
        <v>107</v>
      </c>
      <c r="F438" s="26" t="s">
        <v>63</v>
      </c>
      <c r="G438" s="26" t="s">
        <v>64</v>
      </c>
      <c r="H438" s="26" t="s">
        <v>1372</v>
      </c>
      <c r="I438" s="25">
        <v>6</v>
      </c>
      <c r="J438" s="27">
        <v>25849.58</v>
      </c>
      <c r="K438" s="27">
        <v>15</v>
      </c>
      <c r="L438" s="27">
        <v>21972.14</v>
      </c>
      <c r="M438" s="27">
        <v>131832.84</v>
      </c>
      <c r="N438" s="27">
        <v>88931.95</v>
      </c>
      <c r="O438" s="27">
        <v>42900.89</v>
      </c>
      <c r="P438" s="28">
        <v>32.54</v>
      </c>
      <c r="Q438" s="29">
        <v>44942</v>
      </c>
      <c r="R438" s="29">
        <v>44945</v>
      </c>
      <c r="S438" s="26" t="s">
        <v>55</v>
      </c>
      <c r="T438" s="26" t="s">
        <v>56</v>
      </c>
      <c r="U438" s="26" t="s">
        <v>57</v>
      </c>
      <c r="V438" s="26" t="s">
        <v>109</v>
      </c>
    </row>
    <row r="439" spans="1:22" ht="18" customHeight="1" x14ac:dyDescent="0.3">
      <c r="A439" s="3" t="s">
        <v>1373</v>
      </c>
      <c r="B439" s="3" t="s">
        <v>1374</v>
      </c>
      <c r="C439" s="4" t="s">
        <v>1375</v>
      </c>
      <c r="D439" s="4" t="s">
        <v>24</v>
      </c>
      <c r="E439" s="4" t="s">
        <v>113</v>
      </c>
      <c r="F439" s="4" t="s">
        <v>73</v>
      </c>
      <c r="G439" s="4" t="s">
        <v>74</v>
      </c>
      <c r="H439" s="4" t="s">
        <v>781</v>
      </c>
      <c r="I439" s="3">
        <v>4</v>
      </c>
      <c r="J439" s="5">
        <v>44631.15</v>
      </c>
      <c r="K439" s="5">
        <v>15</v>
      </c>
      <c r="L439" s="5">
        <v>37936.480000000003</v>
      </c>
      <c r="M439" s="5">
        <v>151745.92000000001</v>
      </c>
      <c r="N439" s="5">
        <v>90323.66</v>
      </c>
      <c r="O439" s="5">
        <v>61422.26</v>
      </c>
      <c r="P439" s="24">
        <v>40.479999999999997</v>
      </c>
      <c r="Q439" s="6">
        <v>45269</v>
      </c>
      <c r="R439" s="6">
        <v>45275</v>
      </c>
      <c r="S439" s="4" t="s">
        <v>66</v>
      </c>
      <c r="T439" s="4" t="s">
        <v>56</v>
      </c>
      <c r="U439" s="4" t="s">
        <v>67</v>
      </c>
      <c r="V439" s="4" t="s">
        <v>115</v>
      </c>
    </row>
    <row r="440" spans="1:22" ht="18" customHeight="1" x14ac:dyDescent="0.3">
      <c r="A440" s="25" t="s">
        <v>1376</v>
      </c>
      <c r="B440" s="25" t="s">
        <v>1377</v>
      </c>
      <c r="C440" s="26" t="s">
        <v>1378</v>
      </c>
      <c r="D440" s="26" t="s">
        <v>25</v>
      </c>
      <c r="E440" s="26" t="s">
        <v>107</v>
      </c>
      <c r="F440" s="26" t="s">
        <v>83</v>
      </c>
      <c r="G440" s="26" t="s">
        <v>84</v>
      </c>
      <c r="H440" s="26" t="s">
        <v>522</v>
      </c>
      <c r="I440" s="25">
        <v>8</v>
      </c>
      <c r="J440" s="27">
        <v>26615.78</v>
      </c>
      <c r="K440" s="27">
        <v>15</v>
      </c>
      <c r="L440" s="27">
        <v>22623.41</v>
      </c>
      <c r="M440" s="27">
        <v>180987.28</v>
      </c>
      <c r="N440" s="27">
        <v>109587.49</v>
      </c>
      <c r="O440" s="27">
        <v>71399.789999999994</v>
      </c>
      <c r="P440" s="28">
        <v>39.450000000000003</v>
      </c>
      <c r="Q440" s="29">
        <v>45373</v>
      </c>
      <c r="R440" s="29">
        <v>45380</v>
      </c>
      <c r="S440" s="26" t="s">
        <v>76</v>
      </c>
      <c r="T440" s="26" t="s">
        <v>56</v>
      </c>
      <c r="U440" s="26" t="s">
        <v>77</v>
      </c>
      <c r="V440" s="26" t="s">
        <v>120</v>
      </c>
    </row>
    <row r="441" spans="1:22" ht="18" customHeight="1" x14ac:dyDescent="0.3">
      <c r="A441" s="3" t="s">
        <v>1379</v>
      </c>
      <c r="B441" s="3" t="s">
        <v>1380</v>
      </c>
      <c r="C441" s="4" t="s">
        <v>367</v>
      </c>
      <c r="D441" s="4" t="s">
        <v>9</v>
      </c>
      <c r="E441" s="4" t="s">
        <v>62</v>
      </c>
      <c r="F441" s="4" t="s">
        <v>93</v>
      </c>
      <c r="G441" s="4" t="s">
        <v>94</v>
      </c>
      <c r="H441" s="4" t="s">
        <v>1240</v>
      </c>
      <c r="I441" s="3">
        <v>10</v>
      </c>
      <c r="J441" s="5">
        <v>38447.96</v>
      </c>
      <c r="K441" s="5">
        <v>30</v>
      </c>
      <c r="L441" s="5">
        <v>26913.57</v>
      </c>
      <c r="M441" s="5">
        <v>269135.7</v>
      </c>
      <c r="N441" s="5">
        <v>181184.63</v>
      </c>
      <c r="O441" s="5">
        <v>87951.07</v>
      </c>
      <c r="P441" s="24">
        <v>32.68</v>
      </c>
      <c r="Q441" s="6">
        <v>45292</v>
      </c>
      <c r="R441" s="6">
        <v>45300</v>
      </c>
      <c r="S441" s="4" t="s">
        <v>86</v>
      </c>
      <c r="T441" s="4" t="s">
        <v>56</v>
      </c>
      <c r="U441" s="4" t="s">
        <v>87</v>
      </c>
      <c r="V441" s="4" t="s">
        <v>125</v>
      </c>
    </row>
    <row r="442" spans="1:22" ht="18" customHeight="1" x14ac:dyDescent="0.3">
      <c r="A442" s="25" t="s">
        <v>1381</v>
      </c>
      <c r="B442" s="25" t="s">
        <v>880</v>
      </c>
      <c r="C442" s="26" t="s">
        <v>1382</v>
      </c>
      <c r="D442" s="26" t="s">
        <v>3</v>
      </c>
      <c r="E442" s="26" t="s">
        <v>3</v>
      </c>
      <c r="F442" s="26" t="s">
        <v>52</v>
      </c>
      <c r="G442" s="26" t="s">
        <v>53</v>
      </c>
      <c r="H442" s="26" t="s">
        <v>187</v>
      </c>
      <c r="I442" s="25">
        <v>5</v>
      </c>
      <c r="J442" s="27">
        <v>37659.33</v>
      </c>
      <c r="K442" s="27">
        <v>5</v>
      </c>
      <c r="L442" s="27">
        <v>35776.36</v>
      </c>
      <c r="M442" s="27">
        <v>178881.8</v>
      </c>
      <c r="N442" s="27">
        <v>133017.51999999999</v>
      </c>
      <c r="O442" s="27">
        <v>45864.28</v>
      </c>
      <c r="P442" s="28">
        <v>25.64</v>
      </c>
      <c r="Q442" s="29">
        <v>45371</v>
      </c>
      <c r="R442" s="29">
        <v>45380</v>
      </c>
      <c r="S442" s="26" t="s">
        <v>55</v>
      </c>
      <c r="T442" s="26" t="s">
        <v>235</v>
      </c>
      <c r="U442" s="26" t="s">
        <v>57</v>
      </c>
      <c r="V442" s="26" t="s">
        <v>58</v>
      </c>
    </row>
    <row r="443" spans="1:22" ht="18" customHeight="1" x14ac:dyDescent="0.3">
      <c r="A443" s="3" t="s">
        <v>1383</v>
      </c>
      <c r="B443" s="3" t="s">
        <v>1384</v>
      </c>
      <c r="C443" s="4" t="s">
        <v>906</v>
      </c>
      <c r="D443" s="4" t="s">
        <v>4</v>
      </c>
      <c r="E443" s="4" t="s">
        <v>62</v>
      </c>
      <c r="F443" s="4" t="s">
        <v>63</v>
      </c>
      <c r="G443" s="4" t="s">
        <v>64</v>
      </c>
      <c r="H443" s="4" t="s">
        <v>690</v>
      </c>
      <c r="I443" s="3">
        <v>8</v>
      </c>
      <c r="J443" s="5">
        <v>7359.31</v>
      </c>
      <c r="K443" s="5">
        <v>20</v>
      </c>
      <c r="L443" s="5">
        <v>5887.45</v>
      </c>
      <c r="M443" s="5">
        <v>47099.6</v>
      </c>
      <c r="N443" s="5">
        <v>28042.57</v>
      </c>
      <c r="O443" s="5">
        <v>19057.03</v>
      </c>
      <c r="P443" s="24">
        <v>40.46</v>
      </c>
      <c r="Q443" s="6">
        <v>45588</v>
      </c>
      <c r="R443" s="6">
        <v>45592</v>
      </c>
      <c r="S443" s="4" t="s">
        <v>66</v>
      </c>
      <c r="T443" s="4" t="s">
        <v>102</v>
      </c>
      <c r="U443" s="4" t="s">
        <v>67</v>
      </c>
      <c r="V443" s="4" t="s">
        <v>68</v>
      </c>
    </row>
    <row r="444" spans="1:22" ht="18" customHeight="1" x14ac:dyDescent="0.3">
      <c r="A444" s="25" t="s">
        <v>1385</v>
      </c>
      <c r="B444" s="25" t="s">
        <v>1386</v>
      </c>
      <c r="C444" s="26" t="s">
        <v>1387</v>
      </c>
      <c r="D444" s="26" t="s">
        <v>5</v>
      </c>
      <c r="E444" s="26" t="s">
        <v>72</v>
      </c>
      <c r="F444" s="26" t="s">
        <v>73</v>
      </c>
      <c r="G444" s="26" t="s">
        <v>74</v>
      </c>
      <c r="H444" s="26" t="s">
        <v>319</v>
      </c>
      <c r="I444" s="25">
        <v>10</v>
      </c>
      <c r="J444" s="27">
        <v>2624.93</v>
      </c>
      <c r="K444" s="27">
        <v>20</v>
      </c>
      <c r="L444" s="27">
        <v>2099.94</v>
      </c>
      <c r="M444" s="27">
        <v>20999.4</v>
      </c>
      <c r="N444" s="27">
        <v>11956.81</v>
      </c>
      <c r="O444" s="27">
        <v>9042.59</v>
      </c>
      <c r="P444" s="28">
        <v>43.06</v>
      </c>
      <c r="Q444" s="29">
        <v>45030</v>
      </c>
      <c r="R444" s="29">
        <v>45040</v>
      </c>
      <c r="S444" s="26" t="s">
        <v>76</v>
      </c>
      <c r="T444" s="26" t="s">
        <v>56</v>
      </c>
      <c r="U444" s="26" t="s">
        <v>77</v>
      </c>
      <c r="V444" s="26" t="s">
        <v>78</v>
      </c>
    </row>
    <row r="445" spans="1:22" ht="18" customHeight="1" x14ac:dyDescent="0.3">
      <c r="A445" s="3" t="s">
        <v>1388</v>
      </c>
      <c r="B445" s="3" t="s">
        <v>1357</v>
      </c>
      <c r="C445" s="4" t="s">
        <v>1389</v>
      </c>
      <c r="D445" s="4" t="s">
        <v>6</v>
      </c>
      <c r="E445" s="4" t="s">
        <v>82</v>
      </c>
      <c r="F445" s="4" t="s">
        <v>83</v>
      </c>
      <c r="G445" s="4" t="s">
        <v>84</v>
      </c>
      <c r="H445" s="4" t="s">
        <v>253</v>
      </c>
      <c r="I445" s="3">
        <v>6</v>
      </c>
      <c r="J445" s="5">
        <v>11464.04</v>
      </c>
      <c r="K445" s="5">
        <v>0</v>
      </c>
      <c r="L445" s="5">
        <v>11464.04</v>
      </c>
      <c r="M445" s="5">
        <v>68784.240000000005</v>
      </c>
      <c r="N445" s="5">
        <v>41659.22</v>
      </c>
      <c r="O445" s="5">
        <v>27125.02</v>
      </c>
      <c r="P445" s="24">
        <v>39.43</v>
      </c>
      <c r="Q445" s="6">
        <v>45425</v>
      </c>
      <c r="R445" s="6">
        <v>45430</v>
      </c>
      <c r="S445" s="4" t="s">
        <v>86</v>
      </c>
      <c r="T445" s="4" t="s">
        <v>56</v>
      </c>
      <c r="U445" s="4" t="s">
        <v>87</v>
      </c>
      <c r="V445" s="4" t="s">
        <v>88</v>
      </c>
    </row>
    <row r="446" spans="1:22" ht="18" customHeight="1" x14ac:dyDescent="0.3">
      <c r="A446" s="25" t="s">
        <v>1390</v>
      </c>
      <c r="B446" s="25" t="s">
        <v>310</v>
      </c>
      <c r="C446" s="26" t="s">
        <v>873</v>
      </c>
      <c r="D446" s="26" t="s">
        <v>7</v>
      </c>
      <c r="E446" s="26" t="s">
        <v>92</v>
      </c>
      <c r="F446" s="26" t="s">
        <v>93</v>
      </c>
      <c r="G446" s="26" t="s">
        <v>94</v>
      </c>
      <c r="H446" s="26" t="s">
        <v>95</v>
      </c>
      <c r="I446" s="25">
        <v>10</v>
      </c>
      <c r="J446" s="27">
        <v>43162.28</v>
      </c>
      <c r="K446" s="27">
        <v>15</v>
      </c>
      <c r="L446" s="27">
        <v>36687.94</v>
      </c>
      <c r="M446" s="27">
        <v>366879.4</v>
      </c>
      <c r="N446" s="27">
        <v>242478.41</v>
      </c>
      <c r="O446" s="27">
        <v>124400.99</v>
      </c>
      <c r="P446" s="28">
        <v>33.909999999999997</v>
      </c>
      <c r="Q446" s="29">
        <v>45057</v>
      </c>
      <c r="R446" s="29">
        <v>45061</v>
      </c>
      <c r="S446" s="26" t="s">
        <v>55</v>
      </c>
      <c r="T446" s="26" t="s">
        <v>56</v>
      </c>
      <c r="U446" s="26" t="s">
        <v>57</v>
      </c>
      <c r="V446" s="26" t="s">
        <v>96</v>
      </c>
    </row>
    <row r="447" spans="1:22" ht="18" customHeight="1" x14ac:dyDescent="0.3">
      <c r="A447" s="3" t="s">
        <v>1391</v>
      </c>
      <c r="B447" s="3" t="s">
        <v>1392</v>
      </c>
      <c r="C447" s="4" t="s">
        <v>1285</v>
      </c>
      <c r="D447" s="4" t="s">
        <v>8</v>
      </c>
      <c r="E447" s="4" t="s">
        <v>100</v>
      </c>
      <c r="F447" s="4" t="s">
        <v>52</v>
      </c>
      <c r="G447" s="4" t="s">
        <v>53</v>
      </c>
      <c r="H447" s="4" t="s">
        <v>54</v>
      </c>
      <c r="I447" s="3">
        <v>8</v>
      </c>
      <c r="J447" s="5">
        <v>27434.05</v>
      </c>
      <c r="K447" s="5">
        <v>10</v>
      </c>
      <c r="L447" s="5">
        <v>24690.65</v>
      </c>
      <c r="M447" s="5">
        <v>197525.2</v>
      </c>
      <c r="N447" s="5">
        <v>115627.2</v>
      </c>
      <c r="O447" s="5">
        <v>81898</v>
      </c>
      <c r="P447" s="24">
        <v>41.46</v>
      </c>
      <c r="Q447" s="6">
        <v>44996</v>
      </c>
      <c r="R447" s="6">
        <v>44997</v>
      </c>
      <c r="S447" s="4" t="s">
        <v>66</v>
      </c>
      <c r="T447" s="4" t="s">
        <v>56</v>
      </c>
      <c r="U447" s="4" t="s">
        <v>67</v>
      </c>
      <c r="V447" s="4" t="s">
        <v>103</v>
      </c>
    </row>
    <row r="448" spans="1:22" ht="18" customHeight="1" x14ac:dyDescent="0.3">
      <c r="A448" s="25" t="s">
        <v>1393</v>
      </c>
      <c r="B448" s="25" t="s">
        <v>1394</v>
      </c>
      <c r="C448" s="26" t="s">
        <v>328</v>
      </c>
      <c r="D448" s="26" t="s">
        <v>23</v>
      </c>
      <c r="E448" s="26" t="s">
        <v>107</v>
      </c>
      <c r="F448" s="26" t="s">
        <v>63</v>
      </c>
      <c r="G448" s="26" t="s">
        <v>64</v>
      </c>
      <c r="H448" s="26" t="s">
        <v>207</v>
      </c>
      <c r="I448" s="25">
        <v>5</v>
      </c>
      <c r="J448" s="27">
        <v>23891.040000000001</v>
      </c>
      <c r="K448" s="27">
        <v>10</v>
      </c>
      <c r="L448" s="27">
        <v>21501.94</v>
      </c>
      <c r="M448" s="27">
        <v>107509.7</v>
      </c>
      <c r="N448" s="27">
        <v>79873.05</v>
      </c>
      <c r="O448" s="27">
        <v>27636.65</v>
      </c>
      <c r="P448" s="28">
        <v>25.71</v>
      </c>
      <c r="Q448" s="29">
        <v>45301</v>
      </c>
      <c r="R448" s="29">
        <v>45311</v>
      </c>
      <c r="S448" s="26" t="s">
        <v>76</v>
      </c>
      <c r="T448" s="26" t="s">
        <v>56</v>
      </c>
      <c r="U448" s="26" t="s">
        <v>77</v>
      </c>
      <c r="V448" s="26" t="s">
        <v>109</v>
      </c>
    </row>
    <row r="449" spans="1:22" ht="18" customHeight="1" x14ac:dyDescent="0.3">
      <c r="A449" s="3" t="s">
        <v>1395</v>
      </c>
      <c r="B449" s="3" t="s">
        <v>1396</v>
      </c>
      <c r="C449" s="4" t="s">
        <v>665</v>
      </c>
      <c r="D449" s="4" t="s">
        <v>24</v>
      </c>
      <c r="E449" s="4" t="s">
        <v>113</v>
      </c>
      <c r="F449" s="4" t="s">
        <v>73</v>
      </c>
      <c r="G449" s="4" t="s">
        <v>74</v>
      </c>
      <c r="H449" s="4" t="s">
        <v>230</v>
      </c>
      <c r="I449" s="3">
        <v>1</v>
      </c>
      <c r="J449" s="5">
        <v>21094.05</v>
      </c>
      <c r="K449" s="5">
        <v>0</v>
      </c>
      <c r="L449" s="5">
        <v>21094.05</v>
      </c>
      <c r="M449" s="5">
        <v>21094.05</v>
      </c>
      <c r="N449" s="5">
        <v>13349.82</v>
      </c>
      <c r="O449" s="5">
        <v>7744.23</v>
      </c>
      <c r="P449" s="24">
        <v>36.71</v>
      </c>
      <c r="Q449" s="6">
        <v>45097</v>
      </c>
      <c r="R449" s="6">
        <v>45104</v>
      </c>
      <c r="S449" s="4" t="s">
        <v>86</v>
      </c>
      <c r="T449" s="4" t="s">
        <v>102</v>
      </c>
      <c r="U449" s="4" t="s">
        <v>87</v>
      </c>
      <c r="V449" s="4" t="s">
        <v>115</v>
      </c>
    </row>
    <row r="450" spans="1:22" ht="18" customHeight="1" x14ac:dyDescent="0.3">
      <c r="A450" s="25" t="s">
        <v>1397</v>
      </c>
      <c r="B450" s="25" t="s">
        <v>1398</v>
      </c>
      <c r="C450" s="26" t="s">
        <v>346</v>
      </c>
      <c r="D450" s="26" t="s">
        <v>25</v>
      </c>
      <c r="E450" s="26" t="s">
        <v>107</v>
      </c>
      <c r="F450" s="26" t="s">
        <v>83</v>
      </c>
      <c r="G450" s="26" t="s">
        <v>84</v>
      </c>
      <c r="H450" s="26" t="s">
        <v>1399</v>
      </c>
      <c r="I450" s="25">
        <v>7</v>
      </c>
      <c r="J450" s="27">
        <v>47506.22</v>
      </c>
      <c r="K450" s="27">
        <v>10</v>
      </c>
      <c r="L450" s="27">
        <v>42755.6</v>
      </c>
      <c r="M450" s="27">
        <v>299289.2</v>
      </c>
      <c r="N450" s="27">
        <v>184745.7</v>
      </c>
      <c r="O450" s="27">
        <v>114543.5</v>
      </c>
      <c r="P450" s="28">
        <v>38.270000000000003</v>
      </c>
      <c r="Q450" s="29">
        <v>45527</v>
      </c>
      <c r="R450" s="29">
        <v>45531</v>
      </c>
      <c r="S450" s="26" t="s">
        <v>55</v>
      </c>
      <c r="T450" s="26" t="s">
        <v>235</v>
      </c>
      <c r="U450" s="26" t="s">
        <v>57</v>
      </c>
      <c r="V450" s="26" t="s">
        <v>120</v>
      </c>
    </row>
    <row r="451" spans="1:22" ht="18" customHeight="1" x14ac:dyDescent="0.3">
      <c r="A451" s="3" t="s">
        <v>1400</v>
      </c>
      <c r="B451" s="3" t="s">
        <v>1401</v>
      </c>
      <c r="C451" s="4" t="s">
        <v>1220</v>
      </c>
      <c r="D451" s="4" t="s">
        <v>9</v>
      </c>
      <c r="E451" s="4" t="s">
        <v>62</v>
      </c>
      <c r="F451" s="4" t="s">
        <v>93</v>
      </c>
      <c r="G451" s="4" t="s">
        <v>94</v>
      </c>
      <c r="H451" s="4" t="s">
        <v>164</v>
      </c>
      <c r="I451" s="3">
        <v>7</v>
      </c>
      <c r="J451" s="5">
        <v>7883.31</v>
      </c>
      <c r="K451" s="5">
        <v>15</v>
      </c>
      <c r="L451" s="5">
        <v>6700.81</v>
      </c>
      <c r="M451" s="5">
        <v>46905.67</v>
      </c>
      <c r="N451" s="5">
        <v>22256.85</v>
      </c>
      <c r="O451" s="5">
        <v>24648.82</v>
      </c>
      <c r="P451" s="24">
        <v>52.55</v>
      </c>
      <c r="Q451" s="6">
        <v>45115</v>
      </c>
      <c r="R451" s="6">
        <v>45119</v>
      </c>
      <c r="S451" s="4" t="s">
        <v>66</v>
      </c>
      <c r="T451" s="4" t="s">
        <v>102</v>
      </c>
      <c r="U451" s="4" t="s">
        <v>67</v>
      </c>
      <c r="V451" s="4" t="s">
        <v>125</v>
      </c>
    </row>
    <row r="452" spans="1:22" ht="18" customHeight="1" x14ac:dyDescent="0.3">
      <c r="A452" s="25" t="s">
        <v>1402</v>
      </c>
      <c r="B452" s="25" t="s">
        <v>1403</v>
      </c>
      <c r="C452" s="26" t="s">
        <v>1227</v>
      </c>
      <c r="D452" s="26" t="s">
        <v>3</v>
      </c>
      <c r="E452" s="26" t="s">
        <v>3</v>
      </c>
      <c r="F452" s="26" t="s">
        <v>52</v>
      </c>
      <c r="G452" s="26" t="s">
        <v>53</v>
      </c>
      <c r="H452" s="26" t="s">
        <v>447</v>
      </c>
      <c r="I452" s="25">
        <v>2</v>
      </c>
      <c r="J452" s="27">
        <v>11611.7</v>
      </c>
      <c r="K452" s="27">
        <v>20</v>
      </c>
      <c r="L452" s="27">
        <v>9289.36</v>
      </c>
      <c r="M452" s="27">
        <v>18578.72</v>
      </c>
      <c r="N452" s="27">
        <v>13732.44</v>
      </c>
      <c r="O452" s="27">
        <v>4846.28</v>
      </c>
      <c r="P452" s="28">
        <v>26.09</v>
      </c>
      <c r="Q452" s="29">
        <v>45214</v>
      </c>
      <c r="R452" s="29">
        <v>45222</v>
      </c>
      <c r="S452" s="26" t="s">
        <v>76</v>
      </c>
      <c r="T452" s="26" t="s">
        <v>56</v>
      </c>
      <c r="U452" s="26" t="s">
        <v>77</v>
      </c>
      <c r="V452" s="26" t="s">
        <v>58</v>
      </c>
    </row>
    <row r="453" spans="1:22" ht="18" customHeight="1" x14ac:dyDescent="0.3">
      <c r="A453" s="3" t="s">
        <v>1404</v>
      </c>
      <c r="B453" s="3" t="s">
        <v>205</v>
      </c>
      <c r="C453" s="4" t="s">
        <v>1405</v>
      </c>
      <c r="D453" s="4" t="s">
        <v>4</v>
      </c>
      <c r="E453" s="4" t="s">
        <v>62</v>
      </c>
      <c r="F453" s="4" t="s">
        <v>63</v>
      </c>
      <c r="G453" s="4" t="s">
        <v>64</v>
      </c>
      <c r="H453" s="4" t="s">
        <v>1372</v>
      </c>
      <c r="I453" s="3">
        <v>6</v>
      </c>
      <c r="J453" s="5">
        <v>13483.78</v>
      </c>
      <c r="K453" s="5">
        <v>30</v>
      </c>
      <c r="L453" s="5">
        <v>9438.65</v>
      </c>
      <c r="M453" s="5">
        <v>56631.9</v>
      </c>
      <c r="N453" s="5">
        <v>28323.71</v>
      </c>
      <c r="O453" s="5">
        <v>28308.19</v>
      </c>
      <c r="P453" s="24">
        <v>49.99</v>
      </c>
      <c r="Q453" s="6">
        <v>45423</v>
      </c>
      <c r="R453" s="6">
        <v>45430</v>
      </c>
      <c r="S453" s="4" t="s">
        <v>86</v>
      </c>
      <c r="T453" s="4" t="s">
        <v>56</v>
      </c>
      <c r="U453" s="4" t="s">
        <v>87</v>
      </c>
      <c r="V453" s="4" t="s">
        <v>68</v>
      </c>
    </row>
    <row r="454" spans="1:22" ht="18" customHeight="1" x14ac:dyDescent="0.3">
      <c r="A454" s="25" t="s">
        <v>1406</v>
      </c>
      <c r="B454" s="25" t="s">
        <v>1407</v>
      </c>
      <c r="C454" s="26" t="s">
        <v>423</v>
      </c>
      <c r="D454" s="26" t="s">
        <v>5</v>
      </c>
      <c r="E454" s="26" t="s">
        <v>72</v>
      </c>
      <c r="F454" s="26" t="s">
        <v>73</v>
      </c>
      <c r="G454" s="26" t="s">
        <v>74</v>
      </c>
      <c r="H454" s="26" t="s">
        <v>781</v>
      </c>
      <c r="I454" s="25">
        <v>1</v>
      </c>
      <c r="J454" s="27">
        <v>13474.74</v>
      </c>
      <c r="K454" s="27">
        <v>15</v>
      </c>
      <c r="L454" s="27">
        <v>11453.53</v>
      </c>
      <c r="M454" s="27">
        <v>11453.53</v>
      </c>
      <c r="N454" s="27">
        <v>7965.83</v>
      </c>
      <c r="O454" s="27">
        <v>3487.7</v>
      </c>
      <c r="P454" s="28">
        <v>30.45</v>
      </c>
      <c r="Q454" s="29">
        <v>45242</v>
      </c>
      <c r="R454" s="29">
        <v>45244</v>
      </c>
      <c r="S454" s="26" t="s">
        <v>55</v>
      </c>
      <c r="T454" s="26" t="s">
        <v>56</v>
      </c>
      <c r="U454" s="26" t="s">
        <v>57</v>
      </c>
      <c r="V454" s="26" t="s">
        <v>78</v>
      </c>
    </row>
    <row r="455" spans="1:22" ht="18" customHeight="1" x14ac:dyDescent="0.3">
      <c r="A455" s="3" t="s">
        <v>1408</v>
      </c>
      <c r="B455" s="3" t="s">
        <v>1409</v>
      </c>
      <c r="C455" s="4" t="s">
        <v>246</v>
      </c>
      <c r="D455" s="4" t="s">
        <v>6</v>
      </c>
      <c r="E455" s="4" t="s">
        <v>82</v>
      </c>
      <c r="F455" s="4" t="s">
        <v>83</v>
      </c>
      <c r="G455" s="4" t="s">
        <v>84</v>
      </c>
      <c r="H455" s="4" t="s">
        <v>339</v>
      </c>
      <c r="I455" s="3">
        <v>10</v>
      </c>
      <c r="J455" s="5">
        <v>20335.080000000002</v>
      </c>
      <c r="K455" s="5">
        <v>20</v>
      </c>
      <c r="L455" s="5">
        <v>16268.06</v>
      </c>
      <c r="M455" s="5">
        <v>162680.6</v>
      </c>
      <c r="N455" s="5">
        <v>110049.95</v>
      </c>
      <c r="O455" s="5">
        <v>52630.65</v>
      </c>
      <c r="P455" s="24">
        <v>32.35</v>
      </c>
      <c r="Q455" s="6">
        <v>45519</v>
      </c>
      <c r="R455" s="6">
        <v>45529</v>
      </c>
      <c r="S455" s="4" t="s">
        <v>66</v>
      </c>
      <c r="T455" s="4" t="s">
        <v>102</v>
      </c>
      <c r="U455" s="4" t="s">
        <v>67</v>
      </c>
      <c r="V455" s="4" t="s">
        <v>88</v>
      </c>
    </row>
    <row r="456" spans="1:22" ht="18" customHeight="1" x14ac:dyDescent="0.3">
      <c r="A456" s="25" t="s">
        <v>1410</v>
      </c>
      <c r="B456" s="25" t="s">
        <v>1411</v>
      </c>
      <c r="C456" s="26" t="s">
        <v>392</v>
      </c>
      <c r="D456" s="26" t="s">
        <v>7</v>
      </c>
      <c r="E456" s="26" t="s">
        <v>92</v>
      </c>
      <c r="F456" s="26" t="s">
        <v>93</v>
      </c>
      <c r="G456" s="26" t="s">
        <v>94</v>
      </c>
      <c r="H456" s="26" t="s">
        <v>1051</v>
      </c>
      <c r="I456" s="25">
        <v>1</v>
      </c>
      <c r="J456" s="27">
        <v>12229.09</v>
      </c>
      <c r="K456" s="27">
        <v>0</v>
      </c>
      <c r="L456" s="27">
        <v>12229.09</v>
      </c>
      <c r="M456" s="27">
        <v>12229.09</v>
      </c>
      <c r="N456" s="27">
        <v>7077.06</v>
      </c>
      <c r="O456" s="27">
        <v>5152.03</v>
      </c>
      <c r="P456" s="28">
        <v>42.13</v>
      </c>
      <c r="Q456" s="29">
        <v>45344</v>
      </c>
      <c r="R456" s="29">
        <v>45349</v>
      </c>
      <c r="S456" s="26" t="s">
        <v>76</v>
      </c>
      <c r="T456" s="26" t="s">
        <v>56</v>
      </c>
      <c r="U456" s="26" t="s">
        <v>77</v>
      </c>
      <c r="V456" s="26" t="s">
        <v>96</v>
      </c>
    </row>
    <row r="457" spans="1:22" ht="18" customHeight="1" x14ac:dyDescent="0.3">
      <c r="A457" s="3" t="s">
        <v>1412</v>
      </c>
      <c r="B457" s="3" t="s">
        <v>1413</v>
      </c>
      <c r="C457" s="4" t="s">
        <v>1414</v>
      </c>
      <c r="D457" s="4" t="s">
        <v>8</v>
      </c>
      <c r="E457" s="4" t="s">
        <v>100</v>
      </c>
      <c r="F457" s="4" t="s">
        <v>52</v>
      </c>
      <c r="G457" s="4" t="s">
        <v>53</v>
      </c>
      <c r="H457" s="4" t="s">
        <v>805</v>
      </c>
      <c r="I457" s="3">
        <v>6</v>
      </c>
      <c r="J457" s="5">
        <v>31791.29</v>
      </c>
      <c r="K457" s="5">
        <v>5</v>
      </c>
      <c r="L457" s="5">
        <v>30201.73</v>
      </c>
      <c r="M457" s="5">
        <v>181210.38</v>
      </c>
      <c r="N457" s="5">
        <v>117442.84</v>
      </c>
      <c r="O457" s="5">
        <v>63767.54</v>
      </c>
      <c r="P457" s="24">
        <v>35.19</v>
      </c>
      <c r="Q457" s="6">
        <v>45572</v>
      </c>
      <c r="R457" s="6">
        <v>45579</v>
      </c>
      <c r="S457" s="4" t="s">
        <v>86</v>
      </c>
      <c r="T457" s="4" t="s">
        <v>56</v>
      </c>
      <c r="U457" s="4" t="s">
        <v>87</v>
      </c>
      <c r="V457" s="4" t="s">
        <v>103</v>
      </c>
    </row>
    <row r="458" spans="1:22" ht="18" customHeight="1" x14ac:dyDescent="0.3">
      <c r="A458" s="25" t="s">
        <v>1415</v>
      </c>
      <c r="B458" s="25" t="s">
        <v>1416</v>
      </c>
      <c r="C458" s="26" t="s">
        <v>1331</v>
      </c>
      <c r="D458" s="26" t="s">
        <v>23</v>
      </c>
      <c r="E458" s="26" t="s">
        <v>107</v>
      </c>
      <c r="F458" s="26" t="s">
        <v>63</v>
      </c>
      <c r="G458" s="26" t="s">
        <v>64</v>
      </c>
      <c r="H458" s="26" t="s">
        <v>65</v>
      </c>
      <c r="I458" s="25">
        <v>6</v>
      </c>
      <c r="J458" s="27">
        <v>3408.79</v>
      </c>
      <c r="K458" s="27">
        <v>15</v>
      </c>
      <c r="L458" s="27">
        <v>2897.47</v>
      </c>
      <c r="M458" s="27">
        <v>17384.82</v>
      </c>
      <c r="N458" s="27">
        <v>7826.05</v>
      </c>
      <c r="O458" s="27">
        <v>9558.77</v>
      </c>
      <c r="P458" s="28">
        <v>54.98</v>
      </c>
      <c r="Q458" s="29">
        <v>45087</v>
      </c>
      <c r="R458" s="29">
        <v>45095</v>
      </c>
      <c r="S458" s="26" t="s">
        <v>55</v>
      </c>
      <c r="T458" s="26" t="s">
        <v>56</v>
      </c>
      <c r="U458" s="26" t="s">
        <v>57</v>
      </c>
      <c r="V458" s="26" t="s">
        <v>109</v>
      </c>
    </row>
    <row r="459" spans="1:22" ht="18" customHeight="1" x14ac:dyDescent="0.3">
      <c r="A459" s="3" t="s">
        <v>1417</v>
      </c>
      <c r="B459" s="3" t="s">
        <v>1418</v>
      </c>
      <c r="C459" s="4" t="s">
        <v>1419</v>
      </c>
      <c r="D459" s="4" t="s">
        <v>24</v>
      </c>
      <c r="E459" s="4" t="s">
        <v>113</v>
      </c>
      <c r="F459" s="4" t="s">
        <v>73</v>
      </c>
      <c r="G459" s="4" t="s">
        <v>74</v>
      </c>
      <c r="H459" s="4" t="s">
        <v>156</v>
      </c>
      <c r="I459" s="3">
        <v>10</v>
      </c>
      <c r="J459" s="5">
        <v>17348.009999999998</v>
      </c>
      <c r="K459" s="5">
        <v>10</v>
      </c>
      <c r="L459" s="5">
        <v>15613.21</v>
      </c>
      <c r="M459" s="5">
        <v>156132.1</v>
      </c>
      <c r="N459" s="5">
        <v>103752.16</v>
      </c>
      <c r="O459" s="5">
        <v>52379.94</v>
      </c>
      <c r="P459" s="24">
        <v>33.549999999999997</v>
      </c>
      <c r="Q459" s="6">
        <v>45045</v>
      </c>
      <c r="R459" s="6">
        <v>45046</v>
      </c>
      <c r="S459" s="4" t="s">
        <v>66</v>
      </c>
      <c r="T459" s="4" t="s">
        <v>56</v>
      </c>
      <c r="U459" s="4" t="s">
        <v>67</v>
      </c>
      <c r="V459" s="4" t="s">
        <v>115</v>
      </c>
    </row>
    <row r="460" spans="1:22" ht="18" customHeight="1" x14ac:dyDescent="0.3">
      <c r="A460" s="25" t="s">
        <v>1420</v>
      </c>
      <c r="B460" s="25" t="s">
        <v>1421</v>
      </c>
      <c r="C460" s="26" t="s">
        <v>297</v>
      </c>
      <c r="D460" s="26" t="s">
        <v>25</v>
      </c>
      <c r="E460" s="26" t="s">
        <v>107</v>
      </c>
      <c r="F460" s="26" t="s">
        <v>83</v>
      </c>
      <c r="G460" s="26" t="s">
        <v>84</v>
      </c>
      <c r="H460" s="26" t="s">
        <v>536</v>
      </c>
      <c r="I460" s="25">
        <v>4</v>
      </c>
      <c r="J460" s="27">
        <v>964.84</v>
      </c>
      <c r="K460" s="27">
        <v>30</v>
      </c>
      <c r="L460" s="27">
        <v>675.39</v>
      </c>
      <c r="M460" s="27">
        <v>2701.56</v>
      </c>
      <c r="N460" s="27">
        <v>1787.98</v>
      </c>
      <c r="O460" s="27">
        <v>913.58</v>
      </c>
      <c r="P460" s="28">
        <v>33.82</v>
      </c>
      <c r="Q460" s="29">
        <v>45289</v>
      </c>
      <c r="R460" s="29">
        <v>45297</v>
      </c>
      <c r="S460" s="26" t="s">
        <v>76</v>
      </c>
      <c r="T460" s="26" t="s">
        <v>56</v>
      </c>
      <c r="U460" s="26" t="s">
        <v>77</v>
      </c>
      <c r="V460" s="26" t="s">
        <v>120</v>
      </c>
    </row>
    <row r="461" spans="1:22" ht="18" customHeight="1" x14ac:dyDescent="0.3">
      <c r="A461" s="3" t="s">
        <v>1422</v>
      </c>
      <c r="B461" s="3" t="s">
        <v>1023</v>
      </c>
      <c r="C461" s="4" t="s">
        <v>1423</v>
      </c>
      <c r="D461" s="4" t="s">
        <v>9</v>
      </c>
      <c r="E461" s="4" t="s">
        <v>62</v>
      </c>
      <c r="F461" s="4" t="s">
        <v>93</v>
      </c>
      <c r="G461" s="4" t="s">
        <v>94</v>
      </c>
      <c r="H461" s="4" t="s">
        <v>124</v>
      </c>
      <c r="I461" s="3">
        <v>3</v>
      </c>
      <c r="J461" s="5">
        <v>532.24</v>
      </c>
      <c r="K461" s="5">
        <v>30</v>
      </c>
      <c r="L461" s="5">
        <v>372.57</v>
      </c>
      <c r="M461" s="5">
        <v>1117.71</v>
      </c>
      <c r="N461" s="5">
        <v>510.6</v>
      </c>
      <c r="O461" s="5">
        <v>607.11</v>
      </c>
      <c r="P461" s="24">
        <v>54.32</v>
      </c>
      <c r="Q461" s="6">
        <v>45506</v>
      </c>
      <c r="R461" s="6">
        <v>45507</v>
      </c>
      <c r="S461" s="4" t="s">
        <v>86</v>
      </c>
      <c r="T461" s="4" t="s">
        <v>56</v>
      </c>
      <c r="U461" s="4" t="s">
        <v>87</v>
      </c>
      <c r="V461" s="4" t="s">
        <v>125</v>
      </c>
    </row>
    <row r="462" spans="1:22" ht="18" customHeight="1" x14ac:dyDescent="0.3">
      <c r="A462" s="25" t="s">
        <v>1424</v>
      </c>
      <c r="B462" s="25" t="s">
        <v>1425</v>
      </c>
      <c r="C462" s="26" t="s">
        <v>1426</v>
      </c>
      <c r="D462" s="26" t="s">
        <v>3</v>
      </c>
      <c r="E462" s="26" t="s">
        <v>3</v>
      </c>
      <c r="F462" s="26" t="s">
        <v>52</v>
      </c>
      <c r="G462" s="26" t="s">
        <v>53</v>
      </c>
      <c r="H462" s="26" t="s">
        <v>464</v>
      </c>
      <c r="I462" s="25">
        <v>9</v>
      </c>
      <c r="J462" s="27">
        <v>19361.98</v>
      </c>
      <c r="K462" s="27">
        <v>15</v>
      </c>
      <c r="L462" s="27">
        <v>16457.68</v>
      </c>
      <c r="M462" s="27">
        <v>148119.12</v>
      </c>
      <c r="N462" s="27">
        <v>92075.83</v>
      </c>
      <c r="O462" s="27">
        <v>56043.29</v>
      </c>
      <c r="P462" s="28">
        <v>37.840000000000003</v>
      </c>
      <c r="Q462" s="29">
        <v>44951</v>
      </c>
      <c r="R462" s="29">
        <v>44952</v>
      </c>
      <c r="S462" s="26" t="s">
        <v>55</v>
      </c>
      <c r="T462" s="26" t="s">
        <v>56</v>
      </c>
      <c r="U462" s="26" t="s">
        <v>57</v>
      </c>
      <c r="V462" s="26" t="s">
        <v>58</v>
      </c>
    </row>
    <row r="463" spans="1:22" ht="18" customHeight="1" x14ac:dyDescent="0.3">
      <c r="A463" s="3" t="s">
        <v>1427</v>
      </c>
      <c r="B463" s="3" t="s">
        <v>1428</v>
      </c>
      <c r="C463" s="4" t="s">
        <v>1429</v>
      </c>
      <c r="D463" s="4" t="s">
        <v>4</v>
      </c>
      <c r="E463" s="4" t="s">
        <v>62</v>
      </c>
      <c r="F463" s="4" t="s">
        <v>63</v>
      </c>
      <c r="G463" s="4" t="s">
        <v>64</v>
      </c>
      <c r="H463" s="4" t="s">
        <v>588</v>
      </c>
      <c r="I463" s="3">
        <v>9</v>
      </c>
      <c r="J463" s="5">
        <v>40305.39</v>
      </c>
      <c r="K463" s="5">
        <v>10</v>
      </c>
      <c r="L463" s="5">
        <v>36274.85</v>
      </c>
      <c r="M463" s="5">
        <v>326473.65000000002</v>
      </c>
      <c r="N463" s="5">
        <v>243361.38</v>
      </c>
      <c r="O463" s="5">
        <v>83112.27</v>
      </c>
      <c r="P463" s="24">
        <v>25.46</v>
      </c>
      <c r="Q463" s="6">
        <v>45408</v>
      </c>
      <c r="R463" s="6">
        <v>45413</v>
      </c>
      <c r="S463" s="4" t="s">
        <v>66</v>
      </c>
      <c r="T463" s="4" t="s">
        <v>56</v>
      </c>
      <c r="U463" s="4" t="s">
        <v>67</v>
      </c>
      <c r="V463" s="4" t="s">
        <v>68</v>
      </c>
    </row>
    <row r="464" spans="1:22" ht="18" customHeight="1" x14ac:dyDescent="0.3">
      <c r="A464" s="25" t="s">
        <v>1430</v>
      </c>
      <c r="B464" s="25" t="s">
        <v>1431</v>
      </c>
      <c r="C464" s="26" t="s">
        <v>1432</v>
      </c>
      <c r="D464" s="26" t="s">
        <v>5</v>
      </c>
      <c r="E464" s="26" t="s">
        <v>72</v>
      </c>
      <c r="F464" s="26" t="s">
        <v>73</v>
      </c>
      <c r="G464" s="26" t="s">
        <v>74</v>
      </c>
      <c r="H464" s="26" t="s">
        <v>230</v>
      </c>
      <c r="I464" s="25">
        <v>7</v>
      </c>
      <c r="J464" s="27">
        <v>19389.38</v>
      </c>
      <c r="K464" s="27">
        <v>20</v>
      </c>
      <c r="L464" s="27">
        <v>15511.5</v>
      </c>
      <c r="M464" s="27">
        <v>108580.5</v>
      </c>
      <c r="N464" s="27">
        <v>53040.59</v>
      </c>
      <c r="O464" s="27">
        <v>55539.91</v>
      </c>
      <c r="P464" s="28">
        <v>51.15</v>
      </c>
      <c r="Q464" s="29">
        <v>45610</v>
      </c>
      <c r="R464" s="29">
        <v>45619</v>
      </c>
      <c r="S464" s="26" t="s">
        <v>76</v>
      </c>
      <c r="T464" s="26" t="s">
        <v>235</v>
      </c>
      <c r="U464" s="26" t="s">
        <v>77</v>
      </c>
      <c r="V464" s="26" t="s">
        <v>78</v>
      </c>
    </row>
    <row r="465" spans="1:22" ht="18" customHeight="1" x14ac:dyDescent="0.3">
      <c r="A465" s="3" t="s">
        <v>1433</v>
      </c>
      <c r="B465" s="3" t="s">
        <v>1434</v>
      </c>
      <c r="C465" s="4" t="s">
        <v>218</v>
      </c>
      <c r="D465" s="4" t="s">
        <v>6</v>
      </c>
      <c r="E465" s="4" t="s">
        <v>82</v>
      </c>
      <c r="F465" s="4" t="s">
        <v>83</v>
      </c>
      <c r="G465" s="4" t="s">
        <v>84</v>
      </c>
      <c r="H465" s="4" t="s">
        <v>197</v>
      </c>
      <c r="I465" s="3">
        <v>2</v>
      </c>
      <c r="J465" s="5">
        <v>4207.24</v>
      </c>
      <c r="K465" s="5">
        <v>30</v>
      </c>
      <c r="L465" s="5">
        <v>2945.07</v>
      </c>
      <c r="M465" s="5">
        <v>5890.14</v>
      </c>
      <c r="N465" s="5">
        <v>3126.44</v>
      </c>
      <c r="O465" s="5">
        <v>2763.7</v>
      </c>
      <c r="P465" s="24">
        <v>46.92</v>
      </c>
      <c r="Q465" s="6">
        <v>45220</v>
      </c>
      <c r="R465" s="6">
        <v>45228</v>
      </c>
      <c r="S465" s="4" t="s">
        <v>86</v>
      </c>
      <c r="T465" s="4" t="s">
        <v>56</v>
      </c>
      <c r="U465" s="4" t="s">
        <v>87</v>
      </c>
      <c r="V465" s="4" t="s">
        <v>88</v>
      </c>
    </row>
    <row r="466" spans="1:22" ht="18" customHeight="1" x14ac:dyDescent="0.3">
      <c r="A466" s="25" t="s">
        <v>1435</v>
      </c>
      <c r="B466" s="25" t="s">
        <v>1436</v>
      </c>
      <c r="C466" s="26" t="s">
        <v>1437</v>
      </c>
      <c r="D466" s="26" t="s">
        <v>7</v>
      </c>
      <c r="E466" s="26" t="s">
        <v>92</v>
      </c>
      <c r="F466" s="26" t="s">
        <v>93</v>
      </c>
      <c r="G466" s="26" t="s">
        <v>94</v>
      </c>
      <c r="H466" s="26" t="s">
        <v>308</v>
      </c>
      <c r="I466" s="25">
        <v>1</v>
      </c>
      <c r="J466" s="27">
        <v>5299.97</v>
      </c>
      <c r="K466" s="27">
        <v>0</v>
      </c>
      <c r="L466" s="27">
        <v>5299.97</v>
      </c>
      <c r="M466" s="27">
        <v>5299.97</v>
      </c>
      <c r="N466" s="27">
        <v>3406.74</v>
      </c>
      <c r="O466" s="27">
        <v>1893.23</v>
      </c>
      <c r="P466" s="28">
        <v>35.72</v>
      </c>
      <c r="Q466" s="29">
        <v>45262</v>
      </c>
      <c r="R466" s="29">
        <v>45265</v>
      </c>
      <c r="S466" s="26" t="s">
        <v>55</v>
      </c>
      <c r="T466" s="26" t="s">
        <v>56</v>
      </c>
      <c r="U466" s="26" t="s">
        <v>57</v>
      </c>
      <c r="V466" s="26" t="s">
        <v>96</v>
      </c>
    </row>
    <row r="467" spans="1:22" ht="18" customHeight="1" x14ac:dyDescent="0.3">
      <c r="A467" s="3" t="s">
        <v>1438</v>
      </c>
      <c r="B467" s="3" t="s">
        <v>1439</v>
      </c>
      <c r="C467" s="4" t="s">
        <v>1440</v>
      </c>
      <c r="D467" s="4" t="s">
        <v>8</v>
      </c>
      <c r="E467" s="4" t="s">
        <v>100</v>
      </c>
      <c r="F467" s="4" t="s">
        <v>52</v>
      </c>
      <c r="G467" s="4" t="s">
        <v>53</v>
      </c>
      <c r="H467" s="4" t="s">
        <v>378</v>
      </c>
      <c r="I467" s="3">
        <v>7</v>
      </c>
      <c r="J467" s="5">
        <v>11317</v>
      </c>
      <c r="K467" s="5">
        <v>5</v>
      </c>
      <c r="L467" s="5">
        <v>10751.15</v>
      </c>
      <c r="M467" s="5">
        <v>75258.05</v>
      </c>
      <c r="N467" s="5">
        <v>51793.760000000002</v>
      </c>
      <c r="O467" s="5">
        <v>23464.29</v>
      </c>
      <c r="P467" s="24">
        <v>31.18</v>
      </c>
      <c r="Q467" s="6">
        <v>44945</v>
      </c>
      <c r="R467" s="6">
        <v>44946</v>
      </c>
      <c r="S467" s="4" t="s">
        <v>66</v>
      </c>
      <c r="T467" s="4" t="s">
        <v>56</v>
      </c>
      <c r="U467" s="4" t="s">
        <v>67</v>
      </c>
      <c r="V467" s="4" t="s">
        <v>103</v>
      </c>
    </row>
    <row r="468" spans="1:22" ht="18" customHeight="1" x14ac:dyDescent="0.3">
      <c r="A468" s="25" t="s">
        <v>1441</v>
      </c>
      <c r="B468" s="25" t="s">
        <v>1442</v>
      </c>
      <c r="C468" s="26" t="s">
        <v>1443</v>
      </c>
      <c r="D468" s="26" t="s">
        <v>23</v>
      </c>
      <c r="E468" s="26" t="s">
        <v>107</v>
      </c>
      <c r="F468" s="26" t="s">
        <v>63</v>
      </c>
      <c r="G468" s="26" t="s">
        <v>64</v>
      </c>
      <c r="H468" s="26" t="s">
        <v>1372</v>
      </c>
      <c r="I468" s="25">
        <v>5</v>
      </c>
      <c r="J468" s="27">
        <v>1562.47</v>
      </c>
      <c r="K468" s="27">
        <v>15</v>
      </c>
      <c r="L468" s="27">
        <v>1328.1</v>
      </c>
      <c r="M468" s="27">
        <v>6640.5</v>
      </c>
      <c r="N468" s="27">
        <v>4462.37</v>
      </c>
      <c r="O468" s="27">
        <v>2178.13</v>
      </c>
      <c r="P468" s="28">
        <v>32.799999999999997</v>
      </c>
      <c r="Q468" s="29">
        <v>45382</v>
      </c>
      <c r="R468" s="29">
        <v>45388</v>
      </c>
      <c r="S468" s="26" t="s">
        <v>76</v>
      </c>
      <c r="T468" s="26" t="s">
        <v>56</v>
      </c>
      <c r="U468" s="26" t="s">
        <v>77</v>
      </c>
      <c r="V468" s="26" t="s">
        <v>109</v>
      </c>
    </row>
    <row r="469" spans="1:22" ht="18" customHeight="1" x14ac:dyDescent="0.3">
      <c r="A469" s="3" t="s">
        <v>1444</v>
      </c>
      <c r="B469" s="3" t="s">
        <v>1445</v>
      </c>
      <c r="C469" s="4" t="s">
        <v>873</v>
      </c>
      <c r="D469" s="4" t="s">
        <v>24</v>
      </c>
      <c r="E469" s="4" t="s">
        <v>113</v>
      </c>
      <c r="F469" s="4" t="s">
        <v>73</v>
      </c>
      <c r="G469" s="4" t="s">
        <v>74</v>
      </c>
      <c r="H469" s="4" t="s">
        <v>471</v>
      </c>
      <c r="I469" s="3">
        <v>10</v>
      </c>
      <c r="J469" s="5">
        <v>13565.57</v>
      </c>
      <c r="K469" s="5">
        <v>0</v>
      </c>
      <c r="L469" s="5">
        <v>13565.57</v>
      </c>
      <c r="M469" s="5">
        <v>135655.70000000001</v>
      </c>
      <c r="N469" s="5">
        <v>75964.399999999994</v>
      </c>
      <c r="O469" s="5">
        <v>59691.3</v>
      </c>
      <c r="P469" s="24">
        <v>44</v>
      </c>
      <c r="Q469" s="6">
        <v>45582</v>
      </c>
      <c r="R469" s="6">
        <v>45588</v>
      </c>
      <c r="S469" s="4" t="s">
        <v>86</v>
      </c>
      <c r="T469" s="4" t="s">
        <v>56</v>
      </c>
      <c r="U469" s="4" t="s">
        <v>87</v>
      </c>
      <c r="V469" s="4" t="s">
        <v>115</v>
      </c>
    </row>
    <row r="470" spans="1:22" ht="18" customHeight="1" x14ac:dyDescent="0.3">
      <c r="A470" s="25" t="s">
        <v>1446</v>
      </c>
      <c r="B470" s="25" t="s">
        <v>105</v>
      </c>
      <c r="C470" s="26" t="s">
        <v>1447</v>
      </c>
      <c r="D470" s="26" t="s">
        <v>25</v>
      </c>
      <c r="E470" s="26" t="s">
        <v>107</v>
      </c>
      <c r="F470" s="26" t="s">
        <v>83</v>
      </c>
      <c r="G470" s="26" t="s">
        <v>84</v>
      </c>
      <c r="H470" s="26" t="s">
        <v>566</v>
      </c>
      <c r="I470" s="25">
        <v>9</v>
      </c>
      <c r="J470" s="27">
        <v>15058.81</v>
      </c>
      <c r="K470" s="27">
        <v>5</v>
      </c>
      <c r="L470" s="27">
        <v>14305.87</v>
      </c>
      <c r="M470" s="27">
        <v>128752.83</v>
      </c>
      <c r="N470" s="27">
        <v>85543.15</v>
      </c>
      <c r="O470" s="27">
        <v>43209.68</v>
      </c>
      <c r="P470" s="28">
        <v>33.56</v>
      </c>
      <c r="Q470" s="29">
        <v>45036</v>
      </c>
      <c r="R470" s="29">
        <v>45042</v>
      </c>
      <c r="S470" s="26" t="s">
        <v>55</v>
      </c>
      <c r="T470" s="26" t="s">
        <v>56</v>
      </c>
      <c r="U470" s="26" t="s">
        <v>57</v>
      </c>
      <c r="V470" s="26" t="s">
        <v>120</v>
      </c>
    </row>
    <row r="471" spans="1:22" ht="18" customHeight="1" x14ac:dyDescent="0.3">
      <c r="A471" s="3" t="s">
        <v>1448</v>
      </c>
      <c r="B471" s="3" t="s">
        <v>1134</v>
      </c>
      <c r="C471" s="4" t="s">
        <v>1449</v>
      </c>
      <c r="D471" s="4" t="s">
        <v>9</v>
      </c>
      <c r="E471" s="4" t="s">
        <v>62</v>
      </c>
      <c r="F471" s="4" t="s">
        <v>93</v>
      </c>
      <c r="G471" s="4" t="s">
        <v>94</v>
      </c>
      <c r="H471" s="4" t="s">
        <v>374</v>
      </c>
      <c r="I471" s="3">
        <v>7</v>
      </c>
      <c r="J471" s="5">
        <v>26398.23</v>
      </c>
      <c r="K471" s="5">
        <v>5</v>
      </c>
      <c r="L471" s="5">
        <v>25078.32</v>
      </c>
      <c r="M471" s="5">
        <v>175548.24</v>
      </c>
      <c r="N471" s="5">
        <v>118329.91</v>
      </c>
      <c r="O471" s="5">
        <v>57218.33</v>
      </c>
      <c r="P471" s="24">
        <v>32.590000000000003</v>
      </c>
      <c r="Q471" s="6">
        <v>45480</v>
      </c>
      <c r="R471" s="6">
        <v>45482</v>
      </c>
      <c r="S471" s="4" t="s">
        <v>66</v>
      </c>
      <c r="T471" s="4" t="s">
        <v>56</v>
      </c>
      <c r="U471" s="4" t="s">
        <v>67</v>
      </c>
      <c r="V471" s="4" t="s">
        <v>125</v>
      </c>
    </row>
    <row r="472" spans="1:22" ht="18" customHeight="1" x14ac:dyDescent="0.3">
      <c r="A472" s="25" t="s">
        <v>1450</v>
      </c>
      <c r="B472" s="25" t="s">
        <v>1451</v>
      </c>
      <c r="C472" s="26" t="s">
        <v>1452</v>
      </c>
      <c r="D472" s="26" t="s">
        <v>3</v>
      </c>
      <c r="E472" s="26" t="s">
        <v>3</v>
      </c>
      <c r="F472" s="26" t="s">
        <v>52</v>
      </c>
      <c r="G472" s="26" t="s">
        <v>53</v>
      </c>
      <c r="H472" s="26" t="s">
        <v>260</v>
      </c>
      <c r="I472" s="25">
        <v>4</v>
      </c>
      <c r="J472" s="27">
        <v>44096.68</v>
      </c>
      <c r="K472" s="27">
        <v>30</v>
      </c>
      <c r="L472" s="27">
        <v>30867.68</v>
      </c>
      <c r="M472" s="27">
        <v>123470.72</v>
      </c>
      <c r="N472" s="27">
        <v>89325.6</v>
      </c>
      <c r="O472" s="27">
        <v>34145.120000000003</v>
      </c>
      <c r="P472" s="28">
        <v>27.65</v>
      </c>
      <c r="Q472" s="29">
        <v>45529</v>
      </c>
      <c r="R472" s="29">
        <v>45530</v>
      </c>
      <c r="S472" s="26" t="s">
        <v>76</v>
      </c>
      <c r="T472" s="26" t="s">
        <v>56</v>
      </c>
      <c r="U472" s="26" t="s">
        <v>77</v>
      </c>
      <c r="V472" s="26" t="s">
        <v>58</v>
      </c>
    </row>
    <row r="473" spans="1:22" ht="18" customHeight="1" x14ac:dyDescent="0.3">
      <c r="A473" s="3" t="s">
        <v>1453</v>
      </c>
      <c r="B473" s="3" t="s">
        <v>1454</v>
      </c>
      <c r="C473" s="4" t="s">
        <v>1455</v>
      </c>
      <c r="D473" s="4" t="s">
        <v>4</v>
      </c>
      <c r="E473" s="4" t="s">
        <v>62</v>
      </c>
      <c r="F473" s="4" t="s">
        <v>63</v>
      </c>
      <c r="G473" s="4" t="s">
        <v>64</v>
      </c>
      <c r="H473" s="4" t="s">
        <v>226</v>
      </c>
      <c r="I473" s="3">
        <v>9</v>
      </c>
      <c r="J473" s="5">
        <v>18581.04</v>
      </c>
      <c r="K473" s="5">
        <v>15</v>
      </c>
      <c r="L473" s="5">
        <v>15793.88</v>
      </c>
      <c r="M473" s="5">
        <v>142144.92000000001</v>
      </c>
      <c r="N473" s="5">
        <v>99408.43</v>
      </c>
      <c r="O473" s="5">
        <v>42736.49</v>
      </c>
      <c r="P473" s="24">
        <v>30.07</v>
      </c>
      <c r="Q473" s="6">
        <v>45048</v>
      </c>
      <c r="R473" s="6">
        <v>45051</v>
      </c>
      <c r="S473" s="4" t="s">
        <v>86</v>
      </c>
      <c r="T473" s="4" t="s">
        <v>56</v>
      </c>
      <c r="U473" s="4" t="s">
        <v>87</v>
      </c>
      <c r="V473" s="4" t="s">
        <v>68</v>
      </c>
    </row>
    <row r="474" spans="1:22" ht="18" customHeight="1" x14ac:dyDescent="0.3">
      <c r="A474" s="25" t="s">
        <v>1456</v>
      </c>
      <c r="B474" s="25" t="s">
        <v>1457</v>
      </c>
      <c r="C474" s="26" t="s">
        <v>1458</v>
      </c>
      <c r="D474" s="26" t="s">
        <v>5</v>
      </c>
      <c r="E474" s="26" t="s">
        <v>72</v>
      </c>
      <c r="F474" s="26" t="s">
        <v>73</v>
      </c>
      <c r="G474" s="26" t="s">
        <v>74</v>
      </c>
      <c r="H474" s="26" t="s">
        <v>351</v>
      </c>
      <c r="I474" s="25">
        <v>7</v>
      </c>
      <c r="J474" s="27">
        <v>1834.38</v>
      </c>
      <c r="K474" s="27">
        <v>30</v>
      </c>
      <c r="L474" s="27">
        <v>1284.07</v>
      </c>
      <c r="M474" s="27">
        <v>8988.49</v>
      </c>
      <c r="N474" s="27">
        <v>4449.8500000000004</v>
      </c>
      <c r="O474" s="27">
        <v>4538.6400000000003</v>
      </c>
      <c r="P474" s="28">
        <v>50.49</v>
      </c>
      <c r="Q474" s="29">
        <v>45175</v>
      </c>
      <c r="R474" s="29">
        <v>45184</v>
      </c>
      <c r="S474" s="26" t="s">
        <v>55</v>
      </c>
      <c r="T474" s="26" t="s">
        <v>56</v>
      </c>
      <c r="U474" s="26" t="s">
        <v>57</v>
      </c>
      <c r="V474" s="26" t="s">
        <v>78</v>
      </c>
    </row>
    <row r="475" spans="1:22" ht="18" customHeight="1" x14ac:dyDescent="0.3">
      <c r="A475" s="3" t="s">
        <v>1459</v>
      </c>
      <c r="B475" s="3" t="s">
        <v>1460</v>
      </c>
      <c r="C475" s="4" t="s">
        <v>876</v>
      </c>
      <c r="D475" s="4" t="s">
        <v>6</v>
      </c>
      <c r="E475" s="4" t="s">
        <v>82</v>
      </c>
      <c r="F475" s="4" t="s">
        <v>83</v>
      </c>
      <c r="G475" s="4" t="s">
        <v>84</v>
      </c>
      <c r="H475" s="4" t="s">
        <v>234</v>
      </c>
      <c r="I475" s="3">
        <v>8</v>
      </c>
      <c r="J475" s="5">
        <v>34362.980000000003</v>
      </c>
      <c r="K475" s="5">
        <v>25</v>
      </c>
      <c r="L475" s="5">
        <v>25772.240000000002</v>
      </c>
      <c r="M475" s="5">
        <v>206177.92000000001</v>
      </c>
      <c r="N475" s="5">
        <v>114852.51</v>
      </c>
      <c r="O475" s="5">
        <v>91325.41</v>
      </c>
      <c r="P475" s="24">
        <v>44.29</v>
      </c>
      <c r="Q475" s="6">
        <v>45342</v>
      </c>
      <c r="R475" s="6">
        <v>45352</v>
      </c>
      <c r="S475" s="4" t="s">
        <v>66</v>
      </c>
      <c r="T475" s="4" t="s">
        <v>56</v>
      </c>
      <c r="U475" s="4" t="s">
        <v>67</v>
      </c>
      <c r="V475" s="4" t="s">
        <v>88</v>
      </c>
    </row>
    <row r="476" spans="1:22" ht="18" customHeight="1" x14ac:dyDescent="0.3">
      <c r="A476" s="25" t="s">
        <v>1461</v>
      </c>
      <c r="B476" s="25" t="s">
        <v>1462</v>
      </c>
      <c r="C476" s="26" t="s">
        <v>1463</v>
      </c>
      <c r="D476" s="26" t="s">
        <v>7</v>
      </c>
      <c r="E476" s="26" t="s">
        <v>92</v>
      </c>
      <c r="F476" s="26" t="s">
        <v>93</v>
      </c>
      <c r="G476" s="26" t="s">
        <v>94</v>
      </c>
      <c r="H476" s="26" t="s">
        <v>443</v>
      </c>
      <c r="I476" s="25">
        <v>1</v>
      </c>
      <c r="J476" s="27">
        <v>48170.83</v>
      </c>
      <c r="K476" s="27">
        <v>25</v>
      </c>
      <c r="L476" s="27">
        <v>36128.120000000003</v>
      </c>
      <c r="M476" s="27">
        <v>36128.120000000003</v>
      </c>
      <c r="N476" s="27">
        <v>24441.05</v>
      </c>
      <c r="O476" s="27">
        <v>11687.07</v>
      </c>
      <c r="P476" s="28">
        <v>32.35</v>
      </c>
      <c r="Q476" s="29">
        <v>45041</v>
      </c>
      <c r="R476" s="29">
        <v>45043</v>
      </c>
      <c r="S476" s="26" t="s">
        <v>76</v>
      </c>
      <c r="T476" s="26" t="s">
        <v>56</v>
      </c>
      <c r="U476" s="26" t="s">
        <v>77</v>
      </c>
      <c r="V476" s="26" t="s">
        <v>96</v>
      </c>
    </row>
    <row r="477" spans="1:22" ht="18" customHeight="1" x14ac:dyDescent="0.3">
      <c r="A477" s="3" t="s">
        <v>1464</v>
      </c>
      <c r="B477" s="3" t="s">
        <v>1465</v>
      </c>
      <c r="C477" s="4" t="s">
        <v>826</v>
      </c>
      <c r="D477" s="4" t="s">
        <v>8</v>
      </c>
      <c r="E477" s="4" t="s">
        <v>100</v>
      </c>
      <c r="F477" s="4" t="s">
        <v>52</v>
      </c>
      <c r="G477" s="4" t="s">
        <v>53</v>
      </c>
      <c r="H477" s="4" t="s">
        <v>260</v>
      </c>
      <c r="I477" s="3">
        <v>10</v>
      </c>
      <c r="J477" s="5">
        <v>32120.37</v>
      </c>
      <c r="K477" s="5">
        <v>25</v>
      </c>
      <c r="L477" s="5">
        <v>24090.28</v>
      </c>
      <c r="M477" s="5">
        <v>240902.8</v>
      </c>
      <c r="N477" s="5">
        <v>110204.35</v>
      </c>
      <c r="O477" s="5">
        <v>130698.45</v>
      </c>
      <c r="P477" s="24">
        <v>54.25</v>
      </c>
      <c r="Q477" s="6">
        <v>44981</v>
      </c>
      <c r="R477" s="6">
        <v>44989</v>
      </c>
      <c r="S477" s="4" t="s">
        <v>86</v>
      </c>
      <c r="T477" s="4" t="s">
        <v>56</v>
      </c>
      <c r="U477" s="4" t="s">
        <v>87</v>
      </c>
      <c r="V477" s="4" t="s">
        <v>103</v>
      </c>
    </row>
    <row r="478" spans="1:22" ht="18" customHeight="1" x14ac:dyDescent="0.3">
      <c r="A478" s="25" t="s">
        <v>1466</v>
      </c>
      <c r="B478" s="25" t="s">
        <v>1467</v>
      </c>
      <c r="C478" s="26" t="s">
        <v>1468</v>
      </c>
      <c r="D478" s="26" t="s">
        <v>23</v>
      </c>
      <c r="E478" s="26" t="s">
        <v>107</v>
      </c>
      <c r="F478" s="26" t="s">
        <v>63</v>
      </c>
      <c r="G478" s="26" t="s">
        <v>64</v>
      </c>
      <c r="H478" s="26" t="s">
        <v>690</v>
      </c>
      <c r="I478" s="25">
        <v>6</v>
      </c>
      <c r="J478" s="27">
        <v>10937.79</v>
      </c>
      <c r="K478" s="27">
        <v>15</v>
      </c>
      <c r="L478" s="27">
        <v>9297.1200000000008</v>
      </c>
      <c r="M478" s="27">
        <v>55782.720000000001</v>
      </c>
      <c r="N478" s="27">
        <v>29386.59</v>
      </c>
      <c r="O478" s="27">
        <v>26396.13</v>
      </c>
      <c r="P478" s="28">
        <v>47.32</v>
      </c>
      <c r="Q478" s="29">
        <v>45401</v>
      </c>
      <c r="R478" s="29">
        <v>45409</v>
      </c>
      <c r="S478" s="26" t="s">
        <v>55</v>
      </c>
      <c r="T478" s="26" t="s">
        <v>56</v>
      </c>
      <c r="U478" s="26" t="s">
        <v>57</v>
      </c>
      <c r="V478" s="26" t="s">
        <v>109</v>
      </c>
    </row>
    <row r="479" spans="1:22" ht="18" customHeight="1" x14ac:dyDescent="0.3">
      <c r="A479" s="3" t="s">
        <v>1469</v>
      </c>
      <c r="B479" s="3" t="s">
        <v>1470</v>
      </c>
      <c r="C479" s="4" t="s">
        <v>318</v>
      </c>
      <c r="D479" s="4" t="s">
        <v>24</v>
      </c>
      <c r="E479" s="4" t="s">
        <v>113</v>
      </c>
      <c r="F479" s="4" t="s">
        <v>73</v>
      </c>
      <c r="G479" s="4" t="s">
        <v>74</v>
      </c>
      <c r="H479" s="4" t="s">
        <v>156</v>
      </c>
      <c r="I479" s="3">
        <v>9</v>
      </c>
      <c r="J479" s="5">
        <v>47658.23</v>
      </c>
      <c r="K479" s="5">
        <v>10</v>
      </c>
      <c r="L479" s="5">
        <v>42892.41</v>
      </c>
      <c r="M479" s="5">
        <v>386031.69</v>
      </c>
      <c r="N479" s="5">
        <v>232133.94</v>
      </c>
      <c r="O479" s="5">
        <v>153897.75</v>
      </c>
      <c r="P479" s="24">
        <v>39.869999999999997</v>
      </c>
      <c r="Q479" s="6">
        <v>44986</v>
      </c>
      <c r="R479" s="6">
        <v>44993</v>
      </c>
      <c r="S479" s="4" t="s">
        <v>66</v>
      </c>
      <c r="T479" s="4" t="s">
        <v>56</v>
      </c>
      <c r="U479" s="4" t="s">
        <v>67</v>
      </c>
      <c r="V479" s="4" t="s">
        <v>115</v>
      </c>
    </row>
    <row r="480" spans="1:22" ht="18" customHeight="1" x14ac:dyDescent="0.3">
      <c r="A480" s="25" t="s">
        <v>1471</v>
      </c>
      <c r="B480" s="25" t="s">
        <v>1472</v>
      </c>
      <c r="C480" s="26" t="s">
        <v>1473</v>
      </c>
      <c r="D480" s="26" t="s">
        <v>25</v>
      </c>
      <c r="E480" s="26" t="s">
        <v>107</v>
      </c>
      <c r="F480" s="26" t="s">
        <v>83</v>
      </c>
      <c r="G480" s="26" t="s">
        <v>84</v>
      </c>
      <c r="H480" s="26" t="s">
        <v>491</v>
      </c>
      <c r="I480" s="25">
        <v>8</v>
      </c>
      <c r="J480" s="27">
        <v>38802.44</v>
      </c>
      <c r="K480" s="27">
        <v>5</v>
      </c>
      <c r="L480" s="27">
        <v>36862.32</v>
      </c>
      <c r="M480" s="27">
        <v>294898.56</v>
      </c>
      <c r="N480" s="27">
        <v>201733.24</v>
      </c>
      <c r="O480" s="27">
        <v>93165.32</v>
      </c>
      <c r="P480" s="28">
        <v>31.59</v>
      </c>
      <c r="Q480" s="29">
        <v>45138</v>
      </c>
      <c r="R480" s="29">
        <v>45141</v>
      </c>
      <c r="S480" s="26" t="s">
        <v>76</v>
      </c>
      <c r="T480" s="26" t="s">
        <v>56</v>
      </c>
      <c r="U480" s="26" t="s">
        <v>77</v>
      </c>
      <c r="V480" s="26" t="s">
        <v>120</v>
      </c>
    </row>
    <row r="481" spans="1:22" ht="18" customHeight="1" x14ac:dyDescent="0.3">
      <c r="A481" s="3" t="s">
        <v>1474</v>
      </c>
      <c r="B481" s="3" t="s">
        <v>1475</v>
      </c>
      <c r="C481" s="4" t="s">
        <v>1476</v>
      </c>
      <c r="D481" s="4" t="s">
        <v>9</v>
      </c>
      <c r="E481" s="4" t="s">
        <v>62</v>
      </c>
      <c r="F481" s="4" t="s">
        <v>93</v>
      </c>
      <c r="G481" s="4" t="s">
        <v>94</v>
      </c>
      <c r="H481" s="4" t="s">
        <v>699</v>
      </c>
      <c r="I481" s="3">
        <v>9</v>
      </c>
      <c r="J481" s="5">
        <v>1740.92</v>
      </c>
      <c r="K481" s="5">
        <v>5</v>
      </c>
      <c r="L481" s="5">
        <v>1653.87</v>
      </c>
      <c r="M481" s="5">
        <v>14884.83</v>
      </c>
      <c r="N481" s="5">
        <v>8230.73</v>
      </c>
      <c r="O481" s="5">
        <v>6654.1</v>
      </c>
      <c r="P481" s="24">
        <v>44.7</v>
      </c>
      <c r="Q481" s="6">
        <v>45266</v>
      </c>
      <c r="R481" s="6">
        <v>45273</v>
      </c>
      <c r="S481" s="4" t="s">
        <v>86</v>
      </c>
      <c r="T481" s="4" t="s">
        <v>56</v>
      </c>
      <c r="U481" s="4" t="s">
        <v>87</v>
      </c>
      <c r="V481" s="4" t="s">
        <v>125</v>
      </c>
    </row>
    <row r="482" spans="1:22" ht="18" customHeight="1" x14ac:dyDescent="0.3">
      <c r="A482" s="25" t="s">
        <v>1477</v>
      </c>
      <c r="B482" s="25" t="s">
        <v>1478</v>
      </c>
      <c r="C482" s="26" t="s">
        <v>1479</v>
      </c>
      <c r="D482" s="26" t="s">
        <v>3</v>
      </c>
      <c r="E482" s="26" t="s">
        <v>3</v>
      </c>
      <c r="F482" s="26" t="s">
        <v>52</v>
      </c>
      <c r="G482" s="26" t="s">
        <v>53</v>
      </c>
      <c r="H482" s="26" t="s">
        <v>447</v>
      </c>
      <c r="I482" s="25">
        <v>5</v>
      </c>
      <c r="J482" s="27">
        <v>8984.5300000000007</v>
      </c>
      <c r="K482" s="27">
        <v>0</v>
      </c>
      <c r="L482" s="27">
        <v>8984.5300000000007</v>
      </c>
      <c r="M482" s="27">
        <v>44922.65</v>
      </c>
      <c r="N482" s="27">
        <v>28559.21</v>
      </c>
      <c r="O482" s="27">
        <v>16363.44</v>
      </c>
      <c r="P482" s="28">
        <v>36.43</v>
      </c>
      <c r="Q482" s="29">
        <v>45204</v>
      </c>
      <c r="R482" s="29">
        <v>45210</v>
      </c>
      <c r="S482" s="26" t="s">
        <v>55</v>
      </c>
      <c r="T482" s="26" t="s">
        <v>56</v>
      </c>
      <c r="U482" s="26" t="s">
        <v>57</v>
      </c>
      <c r="V482" s="26" t="s">
        <v>58</v>
      </c>
    </row>
    <row r="483" spans="1:22" ht="18" customHeight="1" x14ac:dyDescent="0.3">
      <c r="A483" s="3" t="s">
        <v>1480</v>
      </c>
      <c r="B483" s="3" t="s">
        <v>449</v>
      </c>
      <c r="C483" s="4" t="s">
        <v>677</v>
      </c>
      <c r="D483" s="4" t="s">
        <v>4</v>
      </c>
      <c r="E483" s="4" t="s">
        <v>62</v>
      </c>
      <c r="F483" s="4" t="s">
        <v>63</v>
      </c>
      <c r="G483" s="4" t="s">
        <v>64</v>
      </c>
      <c r="H483" s="4" t="s">
        <v>707</v>
      </c>
      <c r="I483" s="3">
        <v>8</v>
      </c>
      <c r="J483" s="5">
        <v>3039.53</v>
      </c>
      <c r="K483" s="5">
        <v>20</v>
      </c>
      <c r="L483" s="5">
        <v>2431.62</v>
      </c>
      <c r="M483" s="5">
        <v>19452.96</v>
      </c>
      <c r="N483" s="5">
        <v>9932.2000000000007</v>
      </c>
      <c r="O483" s="5">
        <v>9520.76</v>
      </c>
      <c r="P483" s="24">
        <v>48.94</v>
      </c>
      <c r="Q483" s="6">
        <v>44928</v>
      </c>
      <c r="R483" s="6">
        <v>44932</v>
      </c>
      <c r="S483" s="4" t="s">
        <v>66</v>
      </c>
      <c r="T483" s="4" t="s">
        <v>56</v>
      </c>
      <c r="U483" s="4" t="s">
        <v>67</v>
      </c>
      <c r="V483" s="4" t="s">
        <v>68</v>
      </c>
    </row>
    <row r="484" spans="1:22" ht="18" customHeight="1" x14ac:dyDescent="0.3">
      <c r="A484" s="25" t="s">
        <v>1481</v>
      </c>
      <c r="B484" s="25" t="s">
        <v>1482</v>
      </c>
      <c r="C484" s="26" t="s">
        <v>367</v>
      </c>
      <c r="D484" s="26" t="s">
        <v>5</v>
      </c>
      <c r="E484" s="26" t="s">
        <v>72</v>
      </c>
      <c r="F484" s="26" t="s">
        <v>73</v>
      </c>
      <c r="G484" s="26" t="s">
        <v>74</v>
      </c>
      <c r="H484" s="26" t="s">
        <v>562</v>
      </c>
      <c r="I484" s="25">
        <v>2</v>
      </c>
      <c r="J484" s="27">
        <v>17904.8</v>
      </c>
      <c r="K484" s="27">
        <v>0</v>
      </c>
      <c r="L484" s="27">
        <v>17904.8</v>
      </c>
      <c r="M484" s="27">
        <v>35809.599999999999</v>
      </c>
      <c r="N484" s="27">
        <v>23111.96</v>
      </c>
      <c r="O484" s="27">
        <v>12697.64</v>
      </c>
      <c r="P484" s="28">
        <v>35.46</v>
      </c>
      <c r="Q484" s="29">
        <v>45269</v>
      </c>
      <c r="R484" s="29">
        <v>45275</v>
      </c>
      <c r="S484" s="26" t="s">
        <v>76</v>
      </c>
      <c r="T484" s="26" t="s">
        <v>56</v>
      </c>
      <c r="U484" s="26" t="s">
        <v>77</v>
      </c>
      <c r="V484" s="26" t="s">
        <v>78</v>
      </c>
    </row>
    <row r="485" spans="1:22" ht="18" customHeight="1" x14ac:dyDescent="0.3">
      <c r="A485" s="3" t="s">
        <v>1483</v>
      </c>
      <c r="B485" s="3" t="s">
        <v>1484</v>
      </c>
      <c r="C485" s="4" t="s">
        <v>1485</v>
      </c>
      <c r="D485" s="4" t="s">
        <v>6</v>
      </c>
      <c r="E485" s="4" t="s">
        <v>82</v>
      </c>
      <c r="F485" s="4" t="s">
        <v>83</v>
      </c>
      <c r="G485" s="4" t="s">
        <v>84</v>
      </c>
      <c r="H485" s="4" t="s">
        <v>304</v>
      </c>
      <c r="I485" s="3">
        <v>1</v>
      </c>
      <c r="J485" s="5">
        <v>44558.66</v>
      </c>
      <c r="K485" s="5">
        <v>10</v>
      </c>
      <c r="L485" s="5">
        <v>40102.79</v>
      </c>
      <c r="M485" s="5">
        <v>40102.79</v>
      </c>
      <c r="N485" s="5">
        <v>26002.32</v>
      </c>
      <c r="O485" s="5">
        <v>14100.47</v>
      </c>
      <c r="P485" s="24">
        <v>35.159999999999997</v>
      </c>
      <c r="Q485" s="6">
        <v>44983</v>
      </c>
      <c r="R485" s="6">
        <v>44991</v>
      </c>
      <c r="S485" s="4" t="s">
        <v>86</v>
      </c>
      <c r="T485" s="4" t="s">
        <v>56</v>
      </c>
      <c r="U485" s="4" t="s">
        <v>87</v>
      </c>
      <c r="V485" s="4" t="s">
        <v>88</v>
      </c>
    </row>
    <row r="486" spans="1:22" ht="18" customHeight="1" x14ac:dyDescent="0.3">
      <c r="A486" s="25" t="s">
        <v>1486</v>
      </c>
      <c r="B486" s="25" t="s">
        <v>1090</v>
      </c>
      <c r="C486" s="26" t="s">
        <v>1487</v>
      </c>
      <c r="D486" s="26" t="s">
        <v>7</v>
      </c>
      <c r="E486" s="26" t="s">
        <v>92</v>
      </c>
      <c r="F486" s="26" t="s">
        <v>93</v>
      </c>
      <c r="G486" s="26" t="s">
        <v>94</v>
      </c>
      <c r="H486" s="26" t="s">
        <v>1240</v>
      </c>
      <c r="I486" s="25">
        <v>2</v>
      </c>
      <c r="J486" s="27">
        <v>17584.009999999998</v>
      </c>
      <c r="K486" s="27">
        <v>30</v>
      </c>
      <c r="L486" s="27">
        <v>12308.81</v>
      </c>
      <c r="M486" s="27">
        <v>24617.62</v>
      </c>
      <c r="N486" s="27">
        <v>15354.11</v>
      </c>
      <c r="O486" s="27">
        <v>9263.51</v>
      </c>
      <c r="P486" s="28">
        <v>37.630000000000003</v>
      </c>
      <c r="Q486" s="29">
        <v>45183</v>
      </c>
      <c r="R486" s="29">
        <v>45186</v>
      </c>
      <c r="S486" s="26" t="s">
        <v>55</v>
      </c>
      <c r="T486" s="26" t="s">
        <v>56</v>
      </c>
      <c r="U486" s="26" t="s">
        <v>57</v>
      </c>
      <c r="V486" s="26" t="s">
        <v>96</v>
      </c>
    </row>
    <row r="487" spans="1:22" ht="18" customHeight="1" x14ac:dyDescent="0.3">
      <c r="A487" s="3" t="s">
        <v>1488</v>
      </c>
      <c r="B487" s="3" t="s">
        <v>1489</v>
      </c>
      <c r="C487" s="4" t="s">
        <v>1490</v>
      </c>
      <c r="D487" s="4" t="s">
        <v>8</v>
      </c>
      <c r="E487" s="4" t="s">
        <v>100</v>
      </c>
      <c r="F487" s="4" t="s">
        <v>52</v>
      </c>
      <c r="G487" s="4" t="s">
        <v>53</v>
      </c>
      <c r="H487" s="4" t="s">
        <v>464</v>
      </c>
      <c r="I487" s="3">
        <v>1</v>
      </c>
      <c r="J487" s="5">
        <v>41079.74</v>
      </c>
      <c r="K487" s="5">
        <v>20</v>
      </c>
      <c r="L487" s="5">
        <v>32863.79</v>
      </c>
      <c r="M487" s="5">
        <v>32863.79</v>
      </c>
      <c r="N487" s="5">
        <v>23977.98</v>
      </c>
      <c r="O487" s="5">
        <v>8885.81</v>
      </c>
      <c r="P487" s="24">
        <v>27.04</v>
      </c>
      <c r="Q487" s="6">
        <v>45407</v>
      </c>
      <c r="R487" s="6">
        <v>45414</v>
      </c>
      <c r="S487" s="4" t="s">
        <v>66</v>
      </c>
      <c r="T487" s="4" t="s">
        <v>56</v>
      </c>
      <c r="U487" s="4" t="s">
        <v>67</v>
      </c>
      <c r="V487" s="4" t="s">
        <v>103</v>
      </c>
    </row>
    <row r="488" spans="1:22" ht="18" customHeight="1" x14ac:dyDescent="0.3">
      <c r="A488" s="25" t="s">
        <v>1491</v>
      </c>
      <c r="B488" s="25" t="s">
        <v>1010</v>
      </c>
      <c r="C488" s="26" t="s">
        <v>857</v>
      </c>
      <c r="D488" s="26" t="s">
        <v>23</v>
      </c>
      <c r="E488" s="26" t="s">
        <v>107</v>
      </c>
      <c r="F488" s="26" t="s">
        <v>63</v>
      </c>
      <c r="G488" s="26" t="s">
        <v>64</v>
      </c>
      <c r="H488" s="26" t="s">
        <v>632</v>
      </c>
      <c r="I488" s="25">
        <v>6</v>
      </c>
      <c r="J488" s="27">
        <v>27923.48</v>
      </c>
      <c r="K488" s="27">
        <v>20</v>
      </c>
      <c r="L488" s="27">
        <v>22338.78</v>
      </c>
      <c r="M488" s="27">
        <v>134032.68</v>
      </c>
      <c r="N488" s="27">
        <v>94242.04</v>
      </c>
      <c r="O488" s="27">
        <v>39790.639999999999</v>
      </c>
      <c r="P488" s="28">
        <v>29.69</v>
      </c>
      <c r="Q488" s="29">
        <v>44993</v>
      </c>
      <c r="R488" s="29">
        <v>44998</v>
      </c>
      <c r="S488" s="26" t="s">
        <v>76</v>
      </c>
      <c r="T488" s="26" t="s">
        <v>56</v>
      </c>
      <c r="U488" s="26" t="s">
        <v>77</v>
      </c>
      <c r="V488" s="26" t="s">
        <v>109</v>
      </c>
    </row>
    <row r="489" spans="1:22" ht="18" customHeight="1" x14ac:dyDescent="0.3">
      <c r="A489" s="3" t="s">
        <v>1492</v>
      </c>
      <c r="B489" s="3" t="s">
        <v>1047</v>
      </c>
      <c r="C489" s="4" t="s">
        <v>814</v>
      </c>
      <c r="D489" s="4" t="s">
        <v>24</v>
      </c>
      <c r="E489" s="4" t="s">
        <v>113</v>
      </c>
      <c r="F489" s="4" t="s">
        <v>73</v>
      </c>
      <c r="G489" s="4" t="s">
        <v>74</v>
      </c>
      <c r="H489" s="4" t="s">
        <v>591</v>
      </c>
      <c r="I489" s="3">
        <v>4</v>
      </c>
      <c r="J489" s="5">
        <v>33514.370000000003</v>
      </c>
      <c r="K489" s="5">
        <v>20</v>
      </c>
      <c r="L489" s="5">
        <v>26811.5</v>
      </c>
      <c r="M489" s="5">
        <v>107246</v>
      </c>
      <c r="N489" s="5">
        <v>66050.22</v>
      </c>
      <c r="O489" s="5">
        <v>41195.78</v>
      </c>
      <c r="P489" s="24">
        <v>38.409999999999997</v>
      </c>
      <c r="Q489" s="6">
        <v>45182</v>
      </c>
      <c r="R489" s="6">
        <v>45183</v>
      </c>
      <c r="S489" s="4" t="s">
        <v>86</v>
      </c>
      <c r="T489" s="4" t="s">
        <v>235</v>
      </c>
      <c r="U489" s="4" t="s">
        <v>87</v>
      </c>
      <c r="V489" s="4" t="s">
        <v>115</v>
      </c>
    </row>
    <row r="490" spans="1:22" ht="18" customHeight="1" x14ac:dyDescent="0.3">
      <c r="A490" s="25" t="s">
        <v>1493</v>
      </c>
      <c r="B490" s="25" t="s">
        <v>924</v>
      </c>
      <c r="C490" s="26" t="s">
        <v>477</v>
      </c>
      <c r="D490" s="26" t="s">
        <v>25</v>
      </c>
      <c r="E490" s="26" t="s">
        <v>107</v>
      </c>
      <c r="F490" s="26" t="s">
        <v>83</v>
      </c>
      <c r="G490" s="26" t="s">
        <v>84</v>
      </c>
      <c r="H490" s="26" t="s">
        <v>1021</v>
      </c>
      <c r="I490" s="25">
        <v>9</v>
      </c>
      <c r="J490" s="27">
        <v>48479.49</v>
      </c>
      <c r="K490" s="27">
        <v>5</v>
      </c>
      <c r="L490" s="27">
        <v>46055.519999999997</v>
      </c>
      <c r="M490" s="27">
        <v>414499.68</v>
      </c>
      <c r="N490" s="27">
        <v>263915.32</v>
      </c>
      <c r="O490" s="27">
        <v>150584.35999999999</v>
      </c>
      <c r="P490" s="28">
        <v>36.33</v>
      </c>
      <c r="Q490" s="29">
        <v>44985</v>
      </c>
      <c r="R490" s="29">
        <v>44993</v>
      </c>
      <c r="S490" s="26" t="s">
        <v>55</v>
      </c>
      <c r="T490" s="26" t="s">
        <v>56</v>
      </c>
      <c r="U490" s="26" t="s">
        <v>57</v>
      </c>
      <c r="V490" s="26" t="s">
        <v>120</v>
      </c>
    </row>
    <row r="491" spans="1:22" ht="18" customHeight="1" x14ac:dyDescent="0.3">
      <c r="A491" s="3" t="s">
        <v>1494</v>
      </c>
      <c r="B491" s="3" t="s">
        <v>1495</v>
      </c>
      <c r="C491" s="4" t="s">
        <v>1496</v>
      </c>
      <c r="D491" s="4" t="s">
        <v>9</v>
      </c>
      <c r="E491" s="4" t="s">
        <v>62</v>
      </c>
      <c r="F491" s="4" t="s">
        <v>93</v>
      </c>
      <c r="G491" s="4" t="s">
        <v>94</v>
      </c>
      <c r="H491" s="4" t="s">
        <v>145</v>
      </c>
      <c r="I491" s="3">
        <v>2</v>
      </c>
      <c r="J491" s="5">
        <v>13033.63</v>
      </c>
      <c r="K491" s="5">
        <v>30</v>
      </c>
      <c r="L491" s="5">
        <v>9123.5400000000009</v>
      </c>
      <c r="M491" s="5">
        <v>18247.080000000002</v>
      </c>
      <c r="N491" s="5">
        <v>11364.04</v>
      </c>
      <c r="O491" s="5">
        <v>6883.04</v>
      </c>
      <c r="P491" s="24">
        <v>37.72</v>
      </c>
      <c r="Q491" s="6">
        <v>45578</v>
      </c>
      <c r="R491" s="6">
        <v>45582</v>
      </c>
      <c r="S491" s="4" t="s">
        <v>66</v>
      </c>
      <c r="T491" s="4" t="s">
        <v>56</v>
      </c>
      <c r="U491" s="4" t="s">
        <v>67</v>
      </c>
      <c r="V491" s="4" t="s">
        <v>125</v>
      </c>
    </row>
    <row r="492" spans="1:22" ht="18" customHeight="1" x14ac:dyDescent="0.3">
      <c r="A492" s="25" t="s">
        <v>1497</v>
      </c>
      <c r="B492" s="25" t="s">
        <v>991</v>
      </c>
      <c r="C492" s="26" t="s">
        <v>878</v>
      </c>
      <c r="D492" s="26" t="s">
        <v>3</v>
      </c>
      <c r="E492" s="26" t="s">
        <v>3</v>
      </c>
      <c r="F492" s="26" t="s">
        <v>52</v>
      </c>
      <c r="G492" s="26" t="s">
        <v>53</v>
      </c>
      <c r="H492" s="26" t="s">
        <v>703</v>
      </c>
      <c r="I492" s="25">
        <v>3</v>
      </c>
      <c r="J492" s="27">
        <v>38429.17</v>
      </c>
      <c r="K492" s="27">
        <v>25</v>
      </c>
      <c r="L492" s="27">
        <v>28821.88</v>
      </c>
      <c r="M492" s="27">
        <v>86465.64</v>
      </c>
      <c r="N492" s="27">
        <v>62120.61</v>
      </c>
      <c r="O492" s="27">
        <v>24345.03</v>
      </c>
      <c r="P492" s="28">
        <v>28.16</v>
      </c>
      <c r="Q492" s="29">
        <v>44933</v>
      </c>
      <c r="R492" s="29">
        <v>44940</v>
      </c>
      <c r="S492" s="26" t="s">
        <v>76</v>
      </c>
      <c r="T492" s="26" t="s">
        <v>56</v>
      </c>
      <c r="U492" s="26" t="s">
        <v>77</v>
      </c>
      <c r="V492" s="26" t="s">
        <v>58</v>
      </c>
    </row>
    <row r="493" spans="1:22" ht="18" customHeight="1" x14ac:dyDescent="0.3">
      <c r="A493" s="3" t="s">
        <v>1498</v>
      </c>
      <c r="B493" s="3" t="s">
        <v>1499</v>
      </c>
      <c r="C493" s="4" t="s">
        <v>1500</v>
      </c>
      <c r="D493" s="4" t="s">
        <v>4</v>
      </c>
      <c r="E493" s="4" t="s">
        <v>62</v>
      </c>
      <c r="F493" s="4" t="s">
        <v>63</v>
      </c>
      <c r="G493" s="4" t="s">
        <v>64</v>
      </c>
      <c r="H493" s="4" t="s">
        <v>65</v>
      </c>
      <c r="I493" s="3">
        <v>4</v>
      </c>
      <c r="J493" s="5">
        <v>36411.89</v>
      </c>
      <c r="K493" s="5">
        <v>0</v>
      </c>
      <c r="L493" s="5">
        <v>36411.89</v>
      </c>
      <c r="M493" s="5">
        <v>145647.56</v>
      </c>
      <c r="N493" s="5">
        <v>83340.45</v>
      </c>
      <c r="O493" s="5">
        <v>62307.11</v>
      </c>
      <c r="P493" s="24">
        <v>42.78</v>
      </c>
      <c r="Q493" s="6">
        <v>45371</v>
      </c>
      <c r="R493" s="6">
        <v>45381</v>
      </c>
      <c r="S493" s="4" t="s">
        <v>86</v>
      </c>
      <c r="T493" s="4" t="s">
        <v>56</v>
      </c>
      <c r="U493" s="4" t="s">
        <v>87</v>
      </c>
      <c r="V493" s="4" t="s">
        <v>68</v>
      </c>
    </row>
    <row r="494" spans="1:22" ht="18" customHeight="1" x14ac:dyDescent="0.3">
      <c r="A494" s="25" t="s">
        <v>1501</v>
      </c>
      <c r="B494" s="25" t="s">
        <v>1502</v>
      </c>
      <c r="C494" s="26" t="s">
        <v>1503</v>
      </c>
      <c r="D494" s="26" t="s">
        <v>5</v>
      </c>
      <c r="E494" s="26" t="s">
        <v>72</v>
      </c>
      <c r="F494" s="26" t="s">
        <v>73</v>
      </c>
      <c r="G494" s="26" t="s">
        <v>74</v>
      </c>
      <c r="H494" s="26" t="s">
        <v>267</v>
      </c>
      <c r="I494" s="25">
        <v>10</v>
      </c>
      <c r="J494" s="27">
        <v>19652.560000000001</v>
      </c>
      <c r="K494" s="27">
        <v>10</v>
      </c>
      <c r="L494" s="27">
        <v>17687.3</v>
      </c>
      <c r="M494" s="27">
        <v>176873</v>
      </c>
      <c r="N494" s="27">
        <v>121929.03</v>
      </c>
      <c r="O494" s="27">
        <v>54943.97</v>
      </c>
      <c r="P494" s="28">
        <v>31.06</v>
      </c>
      <c r="Q494" s="29">
        <v>44992</v>
      </c>
      <c r="R494" s="29">
        <v>45000</v>
      </c>
      <c r="S494" s="26" t="s">
        <v>55</v>
      </c>
      <c r="T494" s="26" t="s">
        <v>56</v>
      </c>
      <c r="U494" s="26" t="s">
        <v>57</v>
      </c>
      <c r="V494" s="26" t="s">
        <v>78</v>
      </c>
    </row>
    <row r="495" spans="1:22" ht="18" customHeight="1" x14ac:dyDescent="0.3">
      <c r="A495" s="3" t="s">
        <v>1504</v>
      </c>
      <c r="B495" s="3" t="s">
        <v>1505</v>
      </c>
      <c r="C495" s="4" t="s">
        <v>1334</v>
      </c>
      <c r="D495" s="4" t="s">
        <v>6</v>
      </c>
      <c r="E495" s="4" t="s">
        <v>82</v>
      </c>
      <c r="F495" s="4" t="s">
        <v>83</v>
      </c>
      <c r="G495" s="4" t="s">
        <v>84</v>
      </c>
      <c r="H495" s="4" t="s">
        <v>234</v>
      </c>
      <c r="I495" s="3">
        <v>3</v>
      </c>
      <c r="J495" s="5">
        <v>30594.639999999999</v>
      </c>
      <c r="K495" s="5">
        <v>30</v>
      </c>
      <c r="L495" s="5">
        <v>21416.25</v>
      </c>
      <c r="M495" s="5">
        <v>64248.75</v>
      </c>
      <c r="N495" s="5">
        <v>38353.08</v>
      </c>
      <c r="O495" s="5">
        <v>25895.67</v>
      </c>
      <c r="P495" s="24">
        <v>40.31</v>
      </c>
      <c r="Q495" s="6">
        <v>45599</v>
      </c>
      <c r="R495" s="6">
        <v>45608</v>
      </c>
      <c r="S495" s="4" t="s">
        <v>66</v>
      </c>
      <c r="T495" s="4" t="s">
        <v>56</v>
      </c>
      <c r="U495" s="4" t="s">
        <v>67</v>
      </c>
      <c r="V495" s="4" t="s">
        <v>88</v>
      </c>
    </row>
    <row r="496" spans="1:22" ht="18" customHeight="1" x14ac:dyDescent="0.3">
      <c r="A496" s="25" t="s">
        <v>1506</v>
      </c>
      <c r="B496" s="25" t="s">
        <v>1507</v>
      </c>
      <c r="C496" s="26" t="s">
        <v>1508</v>
      </c>
      <c r="D496" s="26" t="s">
        <v>7</v>
      </c>
      <c r="E496" s="26" t="s">
        <v>92</v>
      </c>
      <c r="F496" s="26" t="s">
        <v>93</v>
      </c>
      <c r="G496" s="26" t="s">
        <v>94</v>
      </c>
      <c r="H496" s="26" t="s">
        <v>291</v>
      </c>
      <c r="I496" s="25">
        <v>9</v>
      </c>
      <c r="J496" s="27">
        <v>31570.2</v>
      </c>
      <c r="K496" s="27">
        <v>5</v>
      </c>
      <c r="L496" s="27">
        <v>29991.69</v>
      </c>
      <c r="M496" s="27">
        <v>269925.21000000002</v>
      </c>
      <c r="N496" s="27">
        <v>179303.77</v>
      </c>
      <c r="O496" s="27">
        <v>90621.440000000002</v>
      </c>
      <c r="P496" s="28">
        <v>33.57</v>
      </c>
      <c r="Q496" s="29">
        <v>45254</v>
      </c>
      <c r="R496" s="29">
        <v>45263</v>
      </c>
      <c r="S496" s="26" t="s">
        <v>76</v>
      </c>
      <c r="T496" s="26" t="s">
        <v>56</v>
      </c>
      <c r="U496" s="26" t="s">
        <v>77</v>
      </c>
      <c r="V496" s="26" t="s">
        <v>96</v>
      </c>
    </row>
    <row r="497" spans="1:22" ht="18" customHeight="1" x14ac:dyDescent="0.3">
      <c r="A497" s="3" t="s">
        <v>1509</v>
      </c>
      <c r="B497" s="3" t="s">
        <v>1510</v>
      </c>
      <c r="C497" s="4" t="s">
        <v>1511</v>
      </c>
      <c r="D497" s="4" t="s">
        <v>8</v>
      </c>
      <c r="E497" s="4" t="s">
        <v>100</v>
      </c>
      <c r="F497" s="4" t="s">
        <v>52</v>
      </c>
      <c r="G497" s="4" t="s">
        <v>53</v>
      </c>
      <c r="H497" s="4" t="s">
        <v>805</v>
      </c>
      <c r="I497" s="3">
        <v>7</v>
      </c>
      <c r="J497" s="5">
        <v>3754.66</v>
      </c>
      <c r="K497" s="5">
        <v>10</v>
      </c>
      <c r="L497" s="5">
        <v>3379.19</v>
      </c>
      <c r="M497" s="5">
        <v>23654.33</v>
      </c>
      <c r="N497" s="5">
        <v>14919.39</v>
      </c>
      <c r="O497" s="5">
        <v>8734.94</v>
      </c>
      <c r="P497" s="24">
        <v>36.93</v>
      </c>
      <c r="Q497" s="6">
        <v>45561</v>
      </c>
      <c r="R497" s="6">
        <v>45562</v>
      </c>
      <c r="S497" s="4" t="s">
        <v>86</v>
      </c>
      <c r="T497" s="4" t="s">
        <v>56</v>
      </c>
      <c r="U497" s="4" t="s">
        <v>87</v>
      </c>
      <c r="V497" s="4" t="s">
        <v>103</v>
      </c>
    </row>
    <row r="498" spans="1:22" ht="18" customHeight="1" x14ac:dyDescent="0.3">
      <c r="A498" s="25" t="s">
        <v>1512</v>
      </c>
      <c r="B498" s="25" t="s">
        <v>1513</v>
      </c>
      <c r="C498" s="26" t="s">
        <v>668</v>
      </c>
      <c r="D498" s="26" t="s">
        <v>23</v>
      </c>
      <c r="E498" s="26" t="s">
        <v>107</v>
      </c>
      <c r="F498" s="26" t="s">
        <v>63</v>
      </c>
      <c r="G498" s="26" t="s">
        <v>64</v>
      </c>
      <c r="H498" s="26" t="s">
        <v>823</v>
      </c>
      <c r="I498" s="25">
        <v>9</v>
      </c>
      <c r="J498" s="27">
        <v>32912.99</v>
      </c>
      <c r="K498" s="27">
        <v>30</v>
      </c>
      <c r="L498" s="27">
        <v>23039.09</v>
      </c>
      <c r="M498" s="27">
        <v>207351.81</v>
      </c>
      <c r="N498" s="27">
        <v>107751.9</v>
      </c>
      <c r="O498" s="27">
        <v>99599.91</v>
      </c>
      <c r="P498" s="28">
        <v>48.03</v>
      </c>
      <c r="Q498" s="29">
        <v>45041</v>
      </c>
      <c r="R498" s="29">
        <v>45049</v>
      </c>
      <c r="S498" s="26" t="s">
        <v>55</v>
      </c>
      <c r="T498" s="26" t="s">
        <v>56</v>
      </c>
      <c r="U498" s="26" t="s">
        <v>57</v>
      </c>
      <c r="V498" s="26" t="s">
        <v>109</v>
      </c>
    </row>
    <row r="499" spans="1:22" ht="18" customHeight="1" x14ac:dyDescent="0.3">
      <c r="A499" s="3" t="s">
        <v>1514</v>
      </c>
      <c r="B499" s="3" t="s">
        <v>1515</v>
      </c>
      <c r="C499" s="4" t="s">
        <v>325</v>
      </c>
      <c r="D499" s="4" t="s">
        <v>24</v>
      </c>
      <c r="E499" s="4" t="s">
        <v>113</v>
      </c>
      <c r="F499" s="4" t="s">
        <v>73</v>
      </c>
      <c r="G499" s="4" t="s">
        <v>74</v>
      </c>
      <c r="H499" s="4" t="s">
        <v>114</v>
      </c>
      <c r="I499" s="3">
        <v>1</v>
      </c>
      <c r="J499" s="5">
        <v>43926.55</v>
      </c>
      <c r="K499" s="5">
        <v>0</v>
      </c>
      <c r="L499" s="5">
        <v>43926.55</v>
      </c>
      <c r="M499" s="5">
        <v>43926.55</v>
      </c>
      <c r="N499" s="5">
        <v>22961.72</v>
      </c>
      <c r="O499" s="5">
        <v>20964.830000000002</v>
      </c>
      <c r="P499" s="24">
        <v>47.73</v>
      </c>
      <c r="Q499" s="6">
        <v>45315</v>
      </c>
      <c r="R499" s="6">
        <v>45321</v>
      </c>
      <c r="S499" s="4" t="s">
        <v>66</v>
      </c>
      <c r="T499" s="4" t="s">
        <v>56</v>
      </c>
      <c r="U499" s="4" t="s">
        <v>67</v>
      </c>
      <c r="V499" s="4" t="s">
        <v>115</v>
      </c>
    </row>
    <row r="500" spans="1:22" ht="18" customHeight="1" x14ac:dyDescent="0.3">
      <c r="A500" s="25" t="s">
        <v>1516</v>
      </c>
      <c r="B500" s="25" t="s">
        <v>1517</v>
      </c>
      <c r="C500" s="26" t="s">
        <v>373</v>
      </c>
      <c r="D500" s="26" t="s">
        <v>25</v>
      </c>
      <c r="E500" s="26" t="s">
        <v>107</v>
      </c>
      <c r="F500" s="26" t="s">
        <v>83</v>
      </c>
      <c r="G500" s="26" t="s">
        <v>84</v>
      </c>
      <c r="H500" s="26" t="s">
        <v>119</v>
      </c>
      <c r="I500" s="25">
        <v>7</v>
      </c>
      <c r="J500" s="27">
        <v>31610.79</v>
      </c>
      <c r="K500" s="27">
        <v>10</v>
      </c>
      <c r="L500" s="27">
        <v>28449.71</v>
      </c>
      <c r="M500" s="27">
        <v>199147.97</v>
      </c>
      <c r="N500" s="27">
        <v>115644.42</v>
      </c>
      <c r="O500" s="27">
        <v>83503.55</v>
      </c>
      <c r="P500" s="28">
        <v>41.93</v>
      </c>
      <c r="Q500" s="29">
        <v>44981</v>
      </c>
      <c r="R500" s="29">
        <v>44983</v>
      </c>
      <c r="S500" s="26" t="s">
        <v>76</v>
      </c>
      <c r="T500" s="26" t="s">
        <v>56</v>
      </c>
      <c r="U500" s="26" t="s">
        <v>77</v>
      </c>
      <c r="V500" s="26" t="s">
        <v>120</v>
      </c>
    </row>
    <row r="501" spans="1:22" ht="18" customHeight="1" x14ac:dyDescent="0.3">
      <c r="A501" s="3" t="s">
        <v>1518</v>
      </c>
      <c r="B501" s="3" t="s">
        <v>1519</v>
      </c>
      <c r="C501" s="4" t="s">
        <v>1520</v>
      </c>
      <c r="D501" s="4" t="s">
        <v>9</v>
      </c>
      <c r="E501" s="4" t="s">
        <v>62</v>
      </c>
      <c r="F501" s="4" t="s">
        <v>93</v>
      </c>
      <c r="G501" s="4" t="s">
        <v>94</v>
      </c>
      <c r="H501" s="4" t="s">
        <v>374</v>
      </c>
      <c r="I501" s="3">
        <v>9</v>
      </c>
      <c r="J501" s="5">
        <v>36071.550000000003</v>
      </c>
      <c r="K501" s="5">
        <v>15</v>
      </c>
      <c r="L501" s="5">
        <v>30660.82</v>
      </c>
      <c r="M501" s="5">
        <v>275947.38</v>
      </c>
      <c r="N501" s="5">
        <v>132479.51999999999</v>
      </c>
      <c r="O501" s="5">
        <v>143467.85999999999</v>
      </c>
      <c r="P501" s="24">
        <v>51.99</v>
      </c>
      <c r="Q501" s="6">
        <v>45324</v>
      </c>
      <c r="R501" s="6">
        <v>45334</v>
      </c>
      <c r="S501" s="4" t="s">
        <v>86</v>
      </c>
      <c r="T501" s="4" t="s">
        <v>56</v>
      </c>
      <c r="U501" s="4" t="s">
        <v>87</v>
      </c>
      <c r="V501" s="4" t="s">
        <v>125</v>
      </c>
    </row>
    <row r="502" spans="1:22" ht="18" customHeight="1" x14ac:dyDescent="0.3">
      <c r="A502" s="25" t="s">
        <v>1521</v>
      </c>
      <c r="B502" s="25" t="s">
        <v>1522</v>
      </c>
      <c r="C502" s="26" t="s">
        <v>1523</v>
      </c>
      <c r="D502" s="26" t="s">
        <v>3</v>
      </c>
      <c r="E502" s="26" t="s">
        <v>3</v>
      </c>
      <c r="F502" s="26" t="s">
        <v>52</v>
      </c>
      <c r="G502" s="26" t="s">
        <v>53</v>
      </c>
      <c r="H502" s="26" t="s">
        <v>378</v>
      </c>
      <c r="I502" s="25">
        <v>1</v>
      </c>
      <c r="J502" s="27">
        <v>5287</v>
      </c>
      <c r="K502" s="27">
        <v>0</v>
      </c>
      <c r="L502" s="27">
        <v>5287</v>
      </c>
      <c r="M502" s="27">
        <v>5287</v>
      </c>
      <c r="N502" s="27">
        <v>2547.4499999999998</v>
      </c>
      <c r="O502" s="27">
        <v>2739.55</v>
      </c>
      <c r="P502" s="28">
        <v>51.82</v>
      </c>
      <c r="Q502" s="29">
        <v>45182</v>
      </c>
      <c r="R502" s="29">
        <v>45190</v>
      </c>
      <c r="S502" s="26" t="s">
        <v>55</v>
      </c>
      <c r="T502" s="26" t="s">
        <v>56</v>
      </c>
      <c r="U502" s="26" t="s">
        <v>57</v>
      </c>
      <c r="V502" s="26" t="s">
        <v>58</v>
      </c>
    </row>
    <row r="503" spans="1:22" ht="18" customHeight="1" x14ac:dyDescent="0.3">
      <c r="A503" s="3" t="s">
        <v>1524</v>
      </c>
      <c r="B503" s="3" t="s">
        <v>1525</v>
      </c>
      <c r="C503" s="4" t="s">
        <v>1011</v>
      </c>
      <c r="D503" s="4" t="s">
        <v>4</v>
      </c>
      <c r="E503" s="4" t="s">
        <v>62</v>
      </c>
      <c r="F503" s="4" t="s">
        <v>63</v>
      </c>
      <c r="G503" s="4" t="s">
        <v>64</v>
      </c>
      <c r="H503" s="4" t="s">
        <v>617</v>
      </c>
      <c r="I503" s="3">
        <v>4</v>
      </c>
      <c r="J503" s="5">
        <v>37277.370000000003</v>
      </c>
      <c r="K503" s="5">
        <v>5</v>
      </c>
      <c r="L503" s="5">
        <v>35413.5</v>
      </c>
      <c r="M503" s="5">
        <v>141654</v>
      </c>
      <c r="N503" s="5">
        <v>72629.990000000005</v>
      </c>
      <c r="O503" s="5">
        <v>69024.009999999995</v>
      </c>
      <c r="P503" s="24">
        <v>48.73</v>
      </c>
      <c r="Q503" s="6">
        <v>45076</v>
      </c>
      <c r="R503" s="6">
        <v>45081</v>
      </c>
      <c r="S503" s="4" t="s">
        <v>66</v>
      </c>
      <c r="T503" s="4" t="s">
        <v>56</v>
      </c>
      <c r="U503" s="4" t="s">
        <v>67</v>
      </c>
      <c r="V503" s="4" t="s">
        <v>68</v>
      </c>
    </row>
    <row r="504" spans="1:22" ht="18" customHeight="1" x14ac:dyDescent="0.3">
      <c r="A504" s="25" t="s">
        <v>1526</v>
      </c>
      <c r="B504" s="25" t="s">
        <v>1527</v>
      </c>
      <c r="C504" s="26" t="s">
        <v>870</v>
      </c>
      <c r="D504" s="26" t="s">
        <v>5</v>
      </c>
      <c r="E504" s="26" t="s">
        <v>72</v>
      </c>
      <c r="F504" s="26" t="s">
        <v>73</v>
      </c>
      <c r="G504" s="26" t="s">
        <v>74</v>
      </c>
      <c r="H504" s="26" t="s">
        <v>137</v>
      </c>
      <c r="I504" s="25">
        <v>9</v>
      </c>
      <c r="J504" s="27">
        <v>42170.09</v>
      </c>
      <c r="K504" s="27">
        <v>25</v>
      </c>
      <c r="L504" s="27">
        <v>31627.57</v>
      </c>
      <c r="M504" s="27">
        <v>284648.13</v>
      </c>
      <c r="N504" s="27">
        <v>181829.12</v>
      </c>
      <c r="O504" s="27">
        <v>102819.01</v>
      </c>
      <c r="P504" s="28">
        <v>36.119999999999997</v>
      </c>
      <c r="Q504" s="29">
        <v>45090</v>
      </c>
      <c r="R504" s="29">
        <v>45092</v>
      </c>
      <c r="S504" s="26" t="s">
        <v>76</v>
      </c>
      <c r="T504" s="26" t="s">
        <v>56</v>
      </c>
      <c r="U504" s="26" t="s">
        <v>77</v>
      </c>
      <c r="V504" s="26" t="s">
        <v>78</v>
      </c>
    </row>
    <row r="505" spans="1:22" ht="18" customHeight="1" x14ac:dyDescent="0.3">
      <c r="A505" s="3" t="s">
        <v>1528</v>
      </c>
      <c r="B505" s="3" t="s">
        <v>1529</v>
      </c>
      <c r="C505" s="4" t="s">
        <v>206</v>
      </c>
      <c r="D505" s="4" t="s">
        <v>6</v>
      </c>
      <c r="E505" s="4" t="s">
        <v>82</v>
      </c>
      <c r="F505" s="4" t="s">
        <v>83</v>
      </c>
      <c r="G505" s="4" t="s">
        <v>84</v>
      </c>
      <c r="H505" s="4" t="s">
        <v>1021</v>
      </c>
      <c r="I505" s="3">
        <v>1</v>
      </c>
      <c r="J505" s="5">
        <v>13720.23</v>
      </c>
      <c r="K505" s="5">
        <v>25</v>
      </c>
      <c r="L505" s="5">
        <v>10290.17</v>
      </c>
      <c r="M505" s="5">
        <v>10290.17</v>
      </c>
      <c r="N505" s="5">
        <v>6603.79</v>
      </c>
      <c r="O505" s="5">
        <v>3686.38</v>
      </c>
      <c r="P505" s="24">
        <v>35.82</v>
      </c>
      <c r="Q505" s="6">
        <v>45599</v>
      </c>
      <c r="R505" s="6">
        <v>45608</v>
      </c>
      <c r="S505" s="4" t="s">
        <v>86</v>
      </c>
      <c r="T505" s="4" t="s">
        <v>56</v>
      </c>
      <c r="U505" s="4" t="s">
        <v>87</v>
      </c>
      <c r="V505" s="4" t="s">
        <v>88</v>
      </c>
    </row>
    <row r="506" spans="1:22" ht="18" customHeight="1" x14ac:dyDescent="0.3">
      <c r="A506" s="25" t="s">
        <v>1530</v>
      </c>
      <c r="B506" s="25" t="s">
        <v>1531</v>
      </c>
      <c r="C506" s="26" t="s">
        <v>1532</v>
      </c>
      <c r="D506" s="26" t="s">
        <v>7</v>
      </c>
      <c r="E506" s="26" t="s">
        <v>92</v>
      </c>
      <c r="F506" s="26" t="s">
        <v>93</v>
      </c>
      <c r="G506" s="26" t="s">
        <v>94</v>
      </c>
      <c r="H506" s="26" t="s">
        <v>124</v>
      </c>
      <c r="I506" s="25">
        <v>6</v>
      </c>
      <c r="J506" s="27">
        <v>32110.78</v>
      </c>
      <c r="K506" s="27">
        <v>10</v>
      </c>
      <c r="L506" s="27">
        <v>28899.7</v>
      </c>
      <c r="M506" s="27">
        <v>173398.2</v>
      </c>
      <c r="N506" s="27">
        <v>115572.33</v>
      </c>
      <c r="O506" s="27">
        <v>57825.87</v>
      </c>
      <c r="P506" s="28">
        <v>33.35</v>
      </c>
      <c r="Q506" s="29">
        <v>45237</v>
      </c>
      <c r="R506" s="29">
        <v>45247</v>
      </c>
      <c r="S506" s="26" t="s">
        <v>55</v>
      </c>
      <c r="T506" s="26" t="s">
        <v>56</v>
      </c>
      <c r="U506" s="26" t="s">
        <v>57</v>
      </c>
      <c r="V506" s="26" t="s">
        <v>96</v>
      </c>
    </row>
    <row r="507" spans="1:22" ht="18" customHeight="1" x14ac:dyDescent="0.3">
      <c r="A507" s="3" t="s">
        <v>1533</v>
      </c>
      <c r="B507" s="3" t="s">
        <v>1534</v>
      </c>
      <c r="C507" s="4" t="s">
        <v>442</v>
      </c>
      <c r="D507" s="4" t="s">
        <v>8</v>
      </c>
      <c r="E507" s="4" t="s">
        <v>100</v>
      </c>
      <c r="F507" s="4" t="s">
        <v>52</v>
      </c>
      <c r="G507" s="4" t="s">
        <v>53</v>
      </c>
      <c r="H507" s="4" t="s">
        <v>447</v>
      </c>
      <c r="I507" s="3">
        <v>8</v>
      </c>
      <c r="J507" s="5">
        <v>22677.08</v>
      </c>
      <c r="K507" s="5">
        <v>10</v>
      </c>
      <c r="L507" s="5">
        <v>20409.37</v>
      </c>
      <c r="M507" s="5">
        <v>163274.96</v>
      </c>
      <c r="N507" s="5">
        <v>106517.93</v>
      </c>
      <c r="O507" s="5">
        <v>56757.03</v>
      </c>
      <c r="P507" s="24">
        <v>34.76</v>
      </c>
      <c r="Q507" s="6">
        <v>45460</v>
      </c>
      <c r="R507" s="6">
        <v>45463</v>
      </c>
      <c r="S507" s="4" t="s">
        <v>66</v>
      </c>
      <c r="T507" s="4" t="s">
        <v>56</v>
      </c>
      <c r="U507" s="4" t="s">
        <v>67</v>
      </c>
      <c r="V507" s="4" t="s">
        <v>103</v>
      </c>
    </row>
    <row r="508" spans="1:22" ht="18" customHeight="1" x14ac:dyDescent="0.3">
      <c r="A508" s="25" t="s">
        <v>1535</v>
      </c>
      <c r="B508" s="25" t="s">
        <v>1536</v>
      </c>
      <c r="C508" s="26" t="s">
        <v>1537</v>
      </c>
      <c r="D508" s="26" t="s">
        <v>23</v>
      </c>
      <c r="E508" s="26" t="s">
        <v>107</v>
      </c>
      <c r="F508" s="26" t="s">
        <v>63</v>
      </c>
      <c r="G508" s="26" t="s">
        <v>64</v>
      </c>
      <c r="H508" s="26" t="s">
        <v>588</v>
      </c>
      <c r="I508" s="25">
        <v>3</v>
      </c>
      <c r="J508" s="27">
        <v>45515.91</v>
      </c>
      <c r="K508" s="27">
        <v>0</v>
      </c>
      <c r="L508" s="27">
        <v>45515.91</v>
      </c>
      <c r="M508" s="27">
        <v>136547.73000000001</v>
      </c>
      <c r="N508" s="27">
        <v>70125.78</v>
      </c>
      <c r="O508" s="27">
        <v>66421.95</v>
      </c>
      <c r="P508" s="28">
        <v>48.64</v>
      </c>
      <c r="Q508" s="29">
        <v>45298</v>
      </c>
      <c r="R508" s="29">
        <v>45301</v>
      </c>
      <c r="S508" s="26" t="s">
        <v>76</v>
      </c>
      <c r="T508" s="26" t="s">
        <v>56</v>
      </c>
      <c r="U508" s="26" t="s">
        <v>77</v>
      </c>
      <c r="V508" s="26" t="s">
        <v>109</v>
      </c>
    </row>
    <row r="509" spans="1:22" ht="18" customHeight="1" x14ac:dyDescent="0.3">
      <c r="A509" s="3" t="s">
        <v>1538</v>
      </c>
      <c r="B509" s="3" t="s">
        <v>611</v>
      </c>
      <c r="C509" s="4" t="s">
        <v>396</v>
      </c>
      <c r="D509" s="4" t="s">
        <v>24</v>
      </c>
      <c r="E509" s="4" t="s">
        <v>113</v>
      </c>
      <c r="F509" s="4" t="s">
        <v>73</v>
      </c>
      <c r="G509" s="4" t="s">
        <v>74</v>
      </c>
      <c r="H509" s="4" t="s">
        <v>211</v>
      </c>
      <c r="I509" s="3">
        <v>3</v>
      </c>
      <c r="J509" s="5">
        <v>23332.720000000001</v>
      </c>
      <c r="K509" s="5">
        <v>10</v>
      </c>
      <c r="L509" s="5">
        <v>20999.45</v>
      </c>
      <c r="M509" s="5">
        <v>62998.35</v>
      </c>
      <c r="N509" s="5">
        <v>29355.79</v>
      </c>
      <c r="O509" s="5">
        <v>33642.559999999998</v>
      </c>
      <c r="P509" s="24">
        <v>53.4</v>
      </c>
      <c r="Q509" s="6">
        <v>45155</v>
      </c>
      <c r="R509" s="6">
        <v>45159</v>
      </c>
      <c r="S509" s="4" t="s">
        <v>86</v>
      </c>
      <c r="T509" s="4" t="s">
        <v>235</v>
      </c>
      <c r="U509" s="4" t="s">
        <v>87</v>
      </c>
      <c r="V509" s="4" t="s">
        <v>115</v>
      </c>
    </row>
    <row r="510" spans="1:22" ht="18" customHeight="1" x14ac:dyDescent="0.3">
      <c r="A510" s="25" t="s">
        <v>1539</v>
      </c>
      <c r="B510" s="25" t="s">
        <v>1540</v>
      </c>
      <c r="C510" s="26" t="s">
        <v>565</v>
      </c>
      <c r="D510" s="26" t="s">
        <v>25</v>
      </c>
      <c r="E510" s="26" t="s">
        <v>107</v>
      </c>
      <c r="F510" s="26" t="s">
        <v>83</v>
      </c>
      <c r="G510" s="26" t="s">
        <v>84</v>
      </c>
      <c r="H510" s="26" t="s">
        <v>141</v>
      </c>
      <c r="I510" s="25">
        <v>7</v>
      </c>
      <c r="J510" s="27">
        <v>34776.400000000001</v>
      </c>
      <c r="K510" s="27">
        <v>30</v>
      </c>
      <c r="L510" s="27">
        <v>24343.48</v>
      </c>
      <c r="M510" s="27">
        <v>170404.36</v>
      </c>
      <c r="N510" s="27">
        <v>118926.62</v>
      </c>
      <c r="O510" s="27">
        <v>51477.74</v>
      </c>
      <c r="P510" s="28">
        <v>30.21</v>
      </c>
      <c r="Q510" s="29">
        <v>44978</v>
      </c>
      <c r="R510" s="29">
        <v>44979</v>
      </c>
      <c r="S510" s="26" t="s">
        <v>55</v>
      </c>
      <c r="T510" s="26" t="s">
        <v>56</v>
      </c>
      <c r="U510" s="26" t="s">
        <v>57</v>
      </c>
      <c r="V510" s="26" t="s">
        <v>120</v>
      </c>
    </row>
    <row r="511" spans="1:22" ht="18" customHeight="1" x14ac:dyDescent="0.3">
      <c r="A511" s="3" t="s">
        <v>1541</v>
      </c>
      <c r="B511" s="3" t="s">
        <v>1542</v>
      </c>
      <c r="C511" s="4" t="s">
        <v>1299</v>
      </c>
      <c r="D511" s="4" t="s">
        <v>9</v>
      </c>
      <c r="E511" s="4" t="s">
        <v>62</v>
      </c>
      <c r="F511" s="4" t="s">
        <v>93</v>
      </c>
      <c r="G511" s="4" t="s">
        <v>94</v>
      </c>
      <c r="H511" s="4" t="s">
        <v>95</v>
      </c>
      <c r="I511" s="3">
        <v>2</v>
      </c>
      <c r="J511" s="5">
        <v>35656.18</v>
      </c>
      <c r="K511" s="5">
        <v>15</v>
      </c>
      <c r="L511" s="5">
        <v>30307.75</v>
      </c>
      <c r="M511" s="5">
        <v>60615.5</v>
      </c>
      <c r="N511" s="5">
        <v>31049.82</v>
      </c>
      <c r="O511" s="5">
        <v>29565.68</v>
      </c>
      <c r="P511" s="24">
        <v>48.78</v>
      </c>
      <c r="Q511" s="6">
        <v>45353</v>
      </c>
      <c r="R511" s="6">
        <v>45359</v>
      </c>
      <c r="S511" s="4" t="s">
        <v>66</v>
      </c>
      <c r="T511" s="4" t="s">
        <v>56</v>
      </c>
      <c r="U511" s="4" t="s">
        <v>67</v>
      </c>
      <c r="V511" s="4" t="s">
        <v>125</v>
      </c>
    </row>
    <row r="512" spans="1:22" ht="18" customHeight="1" x14ac:dyDescent="0.3">
      <c r="A512" s="25" t="s">
        <v>1543</v>
      </c>
      <c r="B512" s="25" t="s">
        <v>1544</v>
      </c>
      <c r="C512" s="26" t="s">
        <v>61</v>
      </c>
      <c r="D512" s="26" t="s">
        <v>3</v>
      </c>
      <c r="E512" s="26" t="s">
        <v>3</v>
      </c>
      <c r="F512" s="26" t="s">
        <v>52</v>
      </c>
      <c r="G512" s="26" t="s">
        <v>53</v>
      </c>
      <c r="H512" s="26" t="s">
        <v>703</v>
      </c>
      <c r="I512" s="25">
        <v>1</v>
      </c>
      <c r="J512" s="27">
        <v>48536.25</v>
      </c>
      <c r="K512" s="27">
        <v>20</v>
      </c>
      <c r="L512" s="27">
        <v>38829</v>
      </c>
      <c r="M512" s="27">
        <v>38829</v>
      </c>
      <c r="N512" s="27">
        <v>24451.07</v>
      </c>
      <c r="O512" s="27">
        <v>14377.93</v>
      </c>
      <c r="P512" s="28">
        <v>37.03</v>
      </c>
      <c r="Q512" s="29">
        <v>45371</v>
      </c>
      <c r="R512" s="29">
        <v>45376</v>
      </c>
      <c r="S512" s="26" t="s">
        <v>76</v>
      </c>
      <c r="T512" s="26" t="s">
        <v>56</v>
      </c>
      <c r="U512" s="26" t="s">
        <v>77</v>
      </c>
      <c r="V512" s="26" t="s">
        <v>58</v>
      </c>
    </row>
    <row r="513" spans="1:22" ht="18" customHeight="1" x14ac:dyDescent="0.3">
      <c r="A513" s="3" t="s">
        <v>1545</v>
      </c>
      <c r="B513" s="3" t="s">
        <v>1546</v>
      </c>
      <c r="C513" s="4" t="s">
        <v>1547</v>
      </c>
      <c r="D513" s="4" t="s">
        <v>4</v>
      </c>
      <c r="E513" s="4" t="s">
        <v>62</v>
      </c>
      <c r="F513" s="4" t="s">
        <v>63</v>
      </c>
      <c r="G513" s="4" t="s">
        <v>64</v>
      </c>
      <c r="H513" s="4" t="s">
        <v>133</v>
      </c>
      <c r="I513" s="3">
        <v>6</v>
      </c>
      <c r="J513" s="5">
        <v>32287.19</v>
      </c>
      <c r="K513" s="5">
        <v>25</v>
      </c>
      <c r="L513" s="5">
        <v>24215.39</v>
      </c>
      <c r="M513" s="5">
        <v>145292.34</v>
      </c>
      <c r="N513" s="5">
        <v>107897.59</v>
      </c>
      <c r="O513" s="5">
        <v>37394.75</v>
      </c>
      <c r="P513" s="24">
        <v>25.74</v>
      </c>
      <c r="Q513" s="6">
        <v>45098</v>
      </c>
      <c r="R513" s="6">
        <v>45107</v>
      </c>
      <c r="S513" s="4" t="s">
        <v>86</v>
      </c>
      <c r="T513" s="4" t="s">
        <v>56</v>
      </c>
      <c r="U513" s="4" t="s">
        <v>87</v>
      </c>
      <c r="V513" s="4" t="s">
        <v>68</v>
      </c>
    </row>
    <row r="514" spans="1:22" ht="18" customHeight="1" x14ac:dyDescent="0.3">
      <c r="A514" s="25" t="s">
        <v>1548</v>
      </c>
      <c r="B514" s="25" t="s">
        <v>469</v>
      </c>
      <c r="C514" s="26" t="s">
        <v>1146</v>
      </c>
      <c r="D514" s="26" t="s">
        <v>5</v>
      </c>
      <c r="E514" s="26" t="s">
        <v>72</v>
      </c>
      <c r="F514" s="26" t="s">
        <v>73</v>
      </c>
      <c r="G514" s="26" t="s">
        <v>74</v>
      </c>
      <c r="H514" s="26" t="s">
        <v>230</v>
      </c>
      <c r="I514" s="25">
        <v>2</v>
      </c>
      <c r="J514" s="27">
        <v>9565.57</v>
      </c>
      <c r="K514" s="27">
        <v>15</v>
      </c>
      <c r="L514" s="27">
        <v>8130.73</v>
      </c>
      <c r="M514" s="27">
        <v>16261.46</v>
      </c>
      <c r="N514" s="27">
        <v>9426.92</v>
      </c>
      <c r="O514" s="27">
        <v>6834.54</v>
      </c>
      <c r="P514" s="28">
        <v>42.03</v>
      </c>
      <c r="Q514" s="29">
        <v>45328</v>
      </c>
      <c r="R514" s="29">
        <v>45337</v>
      </c>
      <c r="S514" s="26" t="s">
        <v>55</v>
      </c>
      <c r="T514" s="26" t="s">
        <v>56</v>
      </c>
      <c r="U514" s="26" t="s">
        <v>57</v>
      </c>
      <c r="V514" s="26" t="s">
        <v>78</v>
      </c>
    </row>
    <row r="515" spans="1:22" ht="18" customHeight="1" x14ac:dyDescent="0.3">
      <c r="A515" s="3" t="s">
        <v>1549</v>
      </c>
      <c r="B515" s="3" t="s">
        <v>363</v>
      </c>
      <c r="C515" s="4" t="s">
        <v>1550</v>
      </c>
      <c r="D515" s="4" t="s">
        <v>6</v>
      </c>
      <c r="E515" s="4" t="s">
        <v>82</v>
      </c>
      <c r="F515" s="4" t="s">
        <v>83</v>
      </c>
      <c r="G515" s="4" t="s">
        <v>84</v>
      </c>
      <c r="H515" s="4" t="s">
        <v>566</v>
      </c>
      <c r="I515" s="3">
        <v>5</v>
      </c>
      <c r="J515" s="5">
        <v>19708.099999999999</v>
      </c>
      <c r="K515" s="5">
        <v>5</v>
      </c>
      <c r="L515" s="5">
        <v>18722.689999999999</v>
      </c>
      <c r="M515" s="5">
        <v>93613.45</v>
      </c>
      <c r="N515" s="5">
        <v>63062.19</v>
      </c>
      <c r="O515" s="5">
        <v>30551.26</v>
      </c>
      <c r="P515" s="24">
        <v>32.64</v>
      </c>
      <c r="Q515" s="6">
        <v>45304</v>
      </c>
      <c r="R515" s="6">
        <v>45311</v>
      </c>
      <c r="S515" s="4" t="s">
        <v>66</v>
      </c>
      <c r="T515" s="4" t="s">
        <v>56</v>
      </c>
      <c r="U515" s="4" t="s">
        <v>67</v>
      </c>
      <c r="V515" s="4" t="s">
        <v>88</v>
      </c>
    </row>
    <row r="516" spans="1:22" ht="18" customHeight="1" x14ac:dyDescent="0.3">
      <c r="A516" s="25" t="s">
        <v>1551</v>
      </c>
      <c r="B516" s="25" t="s">
        <v>1552</v>
      </c>
      <c r="C516" s="26" t="s">
        <v>1553</v>
      </c>
      <c r="D516" s="26" t="s">
        <v>7</v>
      </c>
      <c r="E516" s="26" t="s">
        <v>92</v>
      </c>
      <c r="F516" s="26" t="s">
        <v>93</v>
      </c>
      <c r="G516" s="26" t="s">
        <v>94</v>
      </c>
      <c r="H516" s="26" t="s">
        <v>374</v>
      </c>
      <c r="I516" s="25">
        <v>1</v>
      </c>
      <c r="J516" s="27">
        <v>11272.73</v>
      </c>
      <c r="K516" s="27">
        <v>15</v>
      </c>
      <c r="L516" s="27">
        <v>9581.82</v>
      </c>
      <c r="M516" s="27">
        <v>9581.82</v>
      </c>
      <c r="N516" s="27">
        <v>5286.56</v>
      </c>
      <c r="O516" s="27">
        <v>4295.26</v>
      </c>
      <c r="P516" s="28">
        <v>44.83</v>
      </c>
      <c r="Q516" s="29">
        <v>45388</v>
      </c>
      <c r="R516" s="29">
        <v>45390</v>
      </c>
      <c r="S516" s="26" t="s">
        <v>76</v>
      </c>
      <c r="T516" s="26" t="s">
        <v>56</v>
      </c>
      <c r="U516" s="26" t="s">
        <v>77</v>
      </c>
      <c r="V516" s="26" t="s">
        <v>96</v>
      </c>
    </row>
    <row r="517" spans="1:22" ht="18" customHeight="1" x14ac:dyDescent="0.3">
      <c r="A517" s="3" t="s">
        <v>1554</v>
      </c>
      <c r="B517" s="3" t="s">
        <v>1555</v>
      </c>
      <c r="C517" s="4" t="s">
        <v>1556</v>
      </c>
      <c r="D517" s="4" t="s">
        <v>8</v>
      </c>
      <c r="E517" s="4" t="s">
        <v>100</v>
      </c>
      <c r="F517" s="4" t="s">
        <v>52</v>
      </c>
      <c r="G517" s="4" t="s">
        <v>53</v>
      </c>
      <c r="H517" s="4" t="s">
        <v>657</v>
      </c>
      <c r="I517" s="3">
        <v>9</v>
      </c>
      <c r="J517" s="5">
        <v>23808.46</v>
      </c>
      <c r="K517" s="5">
        <v>10</v>
      </c>
      <c r="L517" s="5">
        <v>21427.61</v>
      </c>
      <c r="M517" s="5">
        <v>192848.49</v>
      </c>
      <c r="N517" s="5">
        <v>142467.57999999999</v>
      </c>
      <c r="O517" s="5">
        <v>50380.91</v>
      </c>
      <c r="P517" s="24">
        <v>26.12</v>
      </c>
      <c r="Q517" s="6">
        <v>45486</v>
      </c>
      <c r="R517" s="6">
        <v>45492</v>
      </c>
      <c r="S517" s="4" t="s">
        <v>86</v>
      </c>
      <c r="T517" s="4" t="s">
        <v>56</v>
      </c>
      <c r="U517" s="4" t="s">
        <v>87</v>
      </c>
      <c r="V517" s="4" t="s">
        <v>103</v>
      </c>
    </row>
    <row r="518" spans="1:22" ht="18" customHeight="1" x14ac:dyDescent="0.3">
      <c r="A518" s="25" t="s">
        <v>1557</v>
      </c>
      <c r="B518" s="25" t="s">
        <v>1558</v>
      </c>
      <c r="C518" s="26" t="s">
        <v>1559</v>
      </c>
      <c r="D518" s="26" t="s">
        <v>23</v>
      </c>
      <c r="E518" s="26" t="s">
        <v>107</v>
      </c>
      <c r="F518" s="26" t="s">
        <v>63</v>
      </c>
      <c r="G518" s="26" t="s">
        <v>64</v>
      </c>
      <c r="H518" s="26" t="s">
        <v>690</v>
      </c>
      <c r="I518" s="25">
        <v>7</v>
      </c>
      <c r="J518" s="27">
        <v>29289.77</v>
      </c>
      <c r="K518" s="27">
        <v>15</v>
      </c>
      <c r="L518" s="27">
        <v>24896.3</v>
      </c>
      <c r="M518" s="27">
        <v>174274.1</v>
      </c>
      <c r="N518" s="27">
        <v>125161.94</v>
      </c>
      <c r="O518" s="27">
        <v>49112.160000000003</v>
      </c>
      <c r="P518" s="28">
        <v>28.18</v>
      </c>
      <c r="Q518" s="29">
        <v>45278</v>
      </c>
      <c r="R518" s="29">
        <v>45288</v>
      </c>
      <c r="S518" s="26" t="s">
        <v>55</v>
      </c>
      <c r="T518" s="26" t="s">
        <v>56</v>
      </c>
      <c r="U518" s="26" t="s">
        <v>57</v>
      </c>
      <c r="V518" s="26" t="s">
        <v>109</v>
      </c>
    </row>
    <row r="519" spans="1:22" ht="18" customHeight="1" x14ac:dyDescent="0.3">
      <c r="A519" s="3" t="s">
        <v>1560</v>
      </c>
      <c r="B519" s="3" t="s">
        <v>217</v>
      </c>
      <c r="C519" s="4" t="s">
        <v>1561</v>
      </c>
      <c r="D519" s="4" t="s">
        <v>24</v>
      </c>
      <c r="E519" s="4" t="s">
        <v>113</v>
      </c>
      <c r="F519" s="4" t="s">
        <v>73</v>
      </c>
      <c r="G519" s="4" t="s">
        <v>74</v>
      </c>
      <c r="H519" s="4" t="s">
        <v>137</v>
      </c>
      <c r="I519" s="3">
        <v>1</v>
      </c>
      <c r="J519" s="5">
        <v>32687.85</v>
      </c>
      <c r="K519" s="5">
        <v>10</v>
      </c>
      <c r="L519" s="5">
        <v>29419.06</v>
      </c>
      <c r="M519" s="5">
        <v>29419.06</v>
      </c>
      <c r="N519" s="5">
        <v>13571.59</v>
      </c>
      <c r="O519" s="5">
        <v>15847.47</v>
      </c>
      <c r="P519" s="24">
        <v>53.87</v>
      </c>
      <c r="Q519" s="6">
        <v>45250</v>
      </c>
      <c r="R519" s="6">
        <v>45254</v>
      </c>
      <c r="S519" s="4" t="s">
        <v>66</v>
      </c>
      <c r="T519" s="4" t="s">
        <v>56</v>
      </c>
      <c r="U519" s="4" t="s">
        <v>67</v>
      </c>
      <c r="V519" s="4" t="s">
        <v>115</v>
      </c>
    </row>
    <row r="520" spans="1:22" ht="18" customHeight="1" x14ac:dyDescent="0.3">
      <c r="A520" s="25" t="s">
        <v>1562</v>
      </c>
      <c r="B520" s="25" t="s">
        <v>1563</v>
      </c>
      <c r="C520" s="26" t="s">
        <v>1564</v>
      </c>
      <c r="D520" s="26" t="s">
        <v>25</v>
      </c>
      <c r="E520" s="26" t="s">
        <v>107</v>
      </c>
      <c r="F520" s="26" t="s">
        <v>83</v>
      </c>
      <c r="G520" s="26" t="s">
        <v>84</v>
      </c>
      <c r="H520" s="26" t="s">
        <v>253</v>
      </c>
      <c r="I520" s="25">
        <v>5</v>
      </c>
      <c r="J520" s="27">
        <v>33633.18</v>
      </c>
      <c r="K520" s="27">
        <v>0</v>
      </c>
      <c r="L520" s="27">
        <v>33633.18</v>
      </c>
      <c r="M520" s="27">
        <v>168165.9</v>
      </c>
      <c r="N520" s="27">
        <v>103584.86</v>
      </c>
      <c r="O520" s="27">
        <v>64581.04</v>
      </c>
      <c r="P520" s="28">
        <v>38.4</v>
      </c>
      <c r="Q520" s="29">
        <v>45611</v>
      </c>
      <c r="R520" s="29">
        <v>45614</v>
      </c>
      <c r="S520" s="26" t="s">
        <v>76</v>
      </c>
      <c r="T520" s="26" t="s">
        <v>56</v>
      </c>
      <c r="U520" s="26" t="s">
        <v>77</v>
      </c>
      <c r="V520" s="26" t="s">
        <v>120</v>
      </c>
    </row>
    <row r="521" spans="1:22" ht="18" customHeight="1" x14ac:dyDescent="0.3">
      <c r="A521" s="3" t="s">
        <v>1565</v>
      </c>
      <c r="B521" s="3" t="s">
        <v>856</v>
      </c>
      <c r="C521" s="4" t="s">
        <v>1212</v>
      </c>
      <c r="D521" s="4" t="s">
        <v>9</v>
      </c>
      <c r="E521" s="4" t="s">
        <v>62</v>
      </c>
      <c r="F521" s="4" t="s">
        <v>93</v>
      </c>
      <c r="G521" s="4" t="s">
        <v>94</v>
      </c>
      <c r="H521" s="4" t="s">
        <v>478</v>
      </c>
      <c r="I521" s="3">
        <v>5</v>
      </c>
      <c r="J521" s="5">
        <v>33315.730000000003</v>
      </c>
      <c r="K521" s="5">
        <v>25</v>
      </c>
      <c r="L521" s="5">
        <v>24986.799999999999</v>
      </c>
      <c r="M521" s="5">
        <v>124934</v>
      </c>
      <c r="N521" s="5">
        <v>63167.1</v>
      </c>
      <c r="O521" s="5">
        <v>61766.9</v>
      </c>
      <c r="P521" s="24">
        <v>49.44</v>
      </c>
      <c r="Q521" s="6">
        <v>45314</v>
      </c>
      <c r="R521" s="6">
        <v>45317</v>
      </c>
      <c r="S521" s="4" t="s">
        <v>86</v>
      </c>
      <c r="T521" s="4" t="s">
        <v>56</v>
      </c>
      <c r="U521" s="4" t="s">
        <v>87</v>
      </c>
      <c r="V521" s="4" t="s">
        <v>125</v>
      </c>
    </row>
    <row r="522" spans="1:22" ht="18" customHeight="1" x14ac:dyDescent="0.3">
      <c r="A522" s="25" t="s">
        <v>1566</v>
      </c>
      <c r="B522" s="25" t="s">
        <v>1567</v>
      </c>
      <c r="C522" s="26" t="s">
        <v>1140</v>
      </c>
      <c r="D522" s="26" t="s">
        <v>3</v>
      </c>
      <c r="E522" s="26" t="s">
        <v>3</v>
      </c>
      <c r="F522" s="26" t="s">
        <v>52</v>
      </c>
      <c r="G522" s="26" t="s">
        <v>53</v>
      </c>
      <c r="H522" s="26" t="s">
        <v>887</v>
      </c>
      <c r="I522" s="25">
        <v>2</v>
      </c>
      <c r="J522" s="27">
        <v>16923.82</v>
      </c>
      <c r="K522" s="27">
        <v>25</v>
      </c>
      <c r="L522" s="27">
        <v>12692.86</v>
      </c>
      <c r="M522" s="27">
        <v>25385.72</v>
      </c>
      <c r="N522" s="27">
        <v>15057.41</v>
      </c>
      <c r="O522" s="27">
        <v>10328.31</v>
      </c>
      <c r="P522" s="28">
        <v>40.69</v>
      </c>
      <c r="Q522" s="29">
        <v>45446</v>
      </c>
      <c r="R522" s="29">
        <v>45449</v>
      </c>
      <c r="S522" s="26" t="s">
        <v>55</v>
      </c>
      <c r="T522" s="26" t="s">
        <v>56</v>
      </c>
      <c r="U522" s="26" t="s">
        <v>57</v>
      </c>
      <c r="V522" s="26" t="s">
        <v>58</v>
      </c>
    </row>
    <row r="523" spans="1:22" ht="18" customHeight="1" x14ac:dyDescent="0.3">
      <c r="A523" s="3" t="s">
        <v>1568</v>
      </c>
      <c r="B523" s="3" t="s">
        <v>1569</v>
      </c>
      <c r="C523" s="4" t="s">
        <v>1570</v>
      </c>
      <c r="D523" s="4" t="s">
        <v>4</v>
      </c>
      <c r="E523" s="4" t="s">
        <v>62</v>
      </c>
      <c r="F523" s="4" t="s">
        <v>63</v>
      </c>
      <c r="G523" s="4" t="s">
        <v>64</v>
      </c>
      <c r="H523" s="4" t="s">
        <v>632</v>
      </c>
      <c r="I523" s="3">
        <v>5</v>
      </c>
      <c r="J523" s="5">
        <v>47456.52</v>
      </c>
      <c r="K523" s="5">
        <v>0</v>
      </c>
      <c r="L523" s="5">
        <v>47456.52</v>
      </c>
      <c r="M523" s="5">
        <v>237282.6</v>
      </c>
      <c r="N523" s="5">
        <v>150582.93</v>
      </c>
      <c r="O523" s="5">
        <v>86699.67</v>
      </c>
      <c r="P523" s="24">
        <v>36.54</v>
      </c>
      <c r="Q523" s="6">
        <v>45089</v>
      </c>
      <c r="R523" s="6">
        <v>45090</v>
      </c>
      <c r="S523" s="4" t="s">
        <v>66</v>
      </c>
      <c r="T523" s="4" t="s">
        <v>56</v>
      </c>
      <c r="U523" s="4" t="s">
        <v>67</v>
      </c>
      <c r="V523" s="4" t="s">
        <v>68</v>
      </c>
    </row>
    <row r="524" spans="1:22" ht="18" customHeight="1" x14ac:dyDescent="0.3">
      <c r="A524" s="25" t="s">
        <v>1571</v>
      </c>
      <c r="B524" s="25" t="s">
        <v>1572</v>
      </c>
      <c r="C524" s="26" t="s">
        <v>878</v>
      </c>
      <c r="D524" s="26" t="s">
        <v>5</v>
      </c>
      <c r="E524" s="26" t="s">
        <v>72</v>
      </c>
      <c r="F524" s="26" t="s">
        <v>73</v>
      </c>
      <c r="G524" s="26" t="s">
        <v>74</v>
      </c>
      <c r="H524" s="26" t="s">
        <v>562</v>
      </c>
      <c r="I524" s="25">
        <v>4</v>
      </c>
      <c r="J524" s="27">
        <v>36497.879999999997</v>
      </c>
      <c r="K524" s="27">
        <v>15</v>
      </c>
      <c r="L524" s="27">
        <v>31023.200000000001</v>
      </c>
      <c r="M524" s="27">
        <v>124092.8</v>
      </c>
      <c r="N524" s="27">
        <v>77484.91</v>
      </c>
      <c r="O524" s="27">
        <v>46607.89</v>
      </c>
      <c r="P524" s="28">
        <v>37.56</v>
      </c>
      <c r="Q524" s="29">
        <v>45398</v>
      </c>
      <c r="R524" s="29">
        <v>45408</v>
      </c>
      <c r="S524" s="26" t="s">
        <v>76</v>
      </c>
      <c r="T524" s="26" t="s">
        <v>56</v>
      </c>
      <c r="U524" s="26" t="s">
        <v>77</v>
      </c>
      <c r="V524" s="26" t="s">
        <v>78</v>
      </c>
    </row>
    <row r="525" spans="1:22" ht="18" customHeight="1" x14ac:dyDescent="0.3">
      <c r="A525" s="3" t="s">
        <v>1573</v>
      </c>
      <c r="B525" s="3" t="s">
        <v>1574</v>
      </c>
      <c r="C525" s="4" t="s">
        <v>1277</v>
      </c>
      <c r="D525" s="4" t="s">
        <v>6</v>
      </c>
      <c r="E525" s="4" t="s">
        <v>82</v>
      </c>
      <c r="F525" s="4" t="s">
        <v>83</v>
      </c>
      <c r="G525" s="4" t="s">
        <v>84</v>
      </c>
      <c r="H525" s="4" t="s">
        <v>566</v>
      </c>
      <c r="I525" s="3">
        <v>7</v>
      </c>
      <c r="J525" s="5">
        <v>35981.269999999997</v>
      </c>
      <c r="K525" s="5">
        <v>20</v>
      </c>
      <c r="L525" s="5">
        <v>28785.02</v>
      </c>
      <c r="M525" s="5">
        <v>201495.14</v>
      </c>
      <c r="N525" s="5">
        <v>95329.58</v>
      </c>
      <c r="O525" s="5">
        <v>106165.56</v>
      </c>
      <c r="P525" s="24">
        <v>52.69</v>
      </c>
      <c r="Q525" s="6">
        <v>45319</v>
      </c>
      <c r="R525" s="6">
        <v>45326</v>
      </c>
      <c r="S525" s="4" t="s">
        <v>86</v>
      </c>
      <c r="T525" s="4" t="s">
        <v>56</v>
      </c>
      <c r="U525" s="4" t="s">
        <v>87</v>
      </c>
      <c r="V525" s="4" t="s">
        <v>88</v>
      </c>
    </row>
    <row r="526" spans="1:22" ht="18" customHeight="1" x14ac:dyDescent="0.3">
      <c r="A526" s="25" t="s">
        <v>1575</v>
      </c>
      <c r="B526" s="25" t="s">
        <v>1576</v>
      </c>
      <c r="C526" s="26" t="s">
        <v>1577</v>
      </c>
      <c r="D526" s="26" t="s">
        <v>7</v>
      </c>
      <c r="E526" s="26" t="s">
        <v>92</v>
      </c>
      <c r="F526" s="26" t="s">
        <v>93</v>
      </c>
      <c r="G526" s="26" t="s">
        <v>94</v>
      </c>
      <c r="H526" s="26" t="s">
        <v>183</v>
      </c>
      <c r="I526" s="25">
        <v>2</v>
      </c>
      <c r="J526" s="27">
        <v>39431.620000000003</v>
      </c>
      <c r="K526" s="27">
        <v>15</v>
      </c>
      <c r="L526" s="27">
        <v>33516.879999999997</v>
      </c>
      <c r="M526" s="27">
        <v>67033.759999999995</v>
      </c>
      <c r="N526" s="27">
        <v>36175.01</v>
      </c>
      <c r="O526" s="27">
        <v>30858.75</v>
      </c>
      <c r="P526" s="28">
        <v>46.03</v>
      </c>
      <c r="Q526" s="29">
        <v>44966</v>
      </c>
      <c r="R526" s="29">
        <v>44968</v>
      </c>
      <c r="S526" s="26" t="s">
        <v>55</v>
      </c>
      <c r="T526" s="26" t="s">
        <v>56</v>
      </c>
      <c r="U526" s="26" t="s">
        <v>57</v>
      </c>
      <c r="V526" s="26" t="s">
        <v>96</v>
      </c>
    </row>
    <row r="527" spans="1:22" ht="18" customHeight="1" x14ac:dyDescent="0.3">
      <c r="A527" s="3" t="s">
        <v>1578</v>
      </c>
      <c r="B527" s="3" t="s">
        <v>1579</v>
      </c>
      <c r="C527" s="4" t="s">
        <v>1580</v>
      </c>
      <c r="D527" s="4" t="s">
        <v>8</v>
      </c>
      <c r="E527" s="4" t="s">
        <v>100</v>
      </c>
      <c r="F527" s="4" t="s">
        <v>52</v>
      </c>
      <c r="G527" s="4" t="s">
        <v>53</v>
      </c>
      <c r="H527" s="4" t="s">
        <v>887</v>
      </c>
      <c r="I527" s="3">
        <v>4</v>
      </c>
      <c r="J527" s="5">
        <v>6343.15</v>
      </c>
      <c r="K527" s="5">
        <v>10</v>
      </c>
      <c r="L527" s="5">
        <v>5708.84</v>
      </c>
      <c r="M527" s="5">
        <v>22835.360000000001</v>
      </c>
      <c r="N527" s="5">
        <v>13915.19</v>
      </c>
      <c r="O527" s="5">
        <v>8920.17</v>
      </c>
      <c r="P527" s="24">
        <v>39.06</v>
      </c>
      <c r="Q527" s="6">
        <v>44964</v>
      </c>
      <c r="R527" s="6">
        <v>44967</v>
      </c>
      <c r="S527" s="4" t="s">
        <v>66</v>
      </c>
      <c r="T527" s="4" t="s">
        <v>56</v>
      </c>
      <c r="U527" s="4" t="s">
        <v>67</v>
      </c>
      <c r="V527" s="4" t="s">
        <v>103</v>
      </c>
    </row>
    <row r="528" spans="1:22" ht="18" customHeight="1" x14ac:dyDescent="0.3">
      <c r="A528" s="25" t="s">
        <v>1581</v>
      </c>
      <c r="B528" s="25" t="s">
        <v>1582</v>
      </c>
      <c r="C528" s="26" t="s">
        <v>909</v>
      </c>
      <c r="D528" s="26" t="s">
        <v>23</v>
      </c>
      <c r="E528" s="26" t="s">
        <v>107</v>
      </c>
      <c r="F528" s="26" t="s">
        <v>63</v>
      </c>
      <c r="G528" s="26" t="s">
        <v>64</v>
      </c>
      <c r="H528" s="26" t="s">
        <v>207</v>
      </c>
      <c r="I528" s="25">
        <v>3</v>
      </c>
      <c r="J528" s="27">
        <v>28729.32</v>
      </c>
      <c r="K528" s="27">
        <v>0</v>
      </c>
      <c r="L528" s="27">
        <v>28729.32</v>
      </c>
      <c r="M528" s="27">
        <v>86187.96</v>
      </c>
      <c r="N528" s="27">
        <v>54400.37</v>
      </c>
      <c r="O528" s="27">
        <v>31787.59</v>
      </c>
      <c r="P528" s="28">
        <v>36.880000000000003</v>
      </c>
      <c r="Q528" s="29">
        <v>44939</v>
      </c>
      <c r="R528" s="29">
        <v>44949</v>
      </c>
      <c r="S528" s="26" t="s">
        <v>76</v>
      </c>
      <c r="T528" s="26" t="s">
        <v>56</v>
      </c>
      <c r="U528" s="26" t="s">
        <v>77</v>
      </c>
      <c r="V528" s="26" t="s">
        <v>109</v>
      </c>
    </row>
    <row r="529" spans="1:22" ht="18" customHeight="1" x14ac:dyDescent="0.3">
      <c r="A529" s="3" t="s">
        <v>1583</v>
      </c>
      <c r="B529" s="3" t="s">
        <v>1584</v>
      </c>
      <c r="C529" s="4" t="s">
        <v>1585</v>
      </c>
      <c r="D529" s="4" t="s">
        <v>24</v>
      </c>
      <c r="E529" s="4" t="s">
        <v>113</v>
      </c>
      <c r="F529" s="4" t="s">
        <v>73</v>
      </c>
      <c r="G529" s="4" t="s">
        <v>74</v>
      </c>
      <c r="H529" s="4" t="s">
        <v>114</v>
      </c>
      <c r="I529" s="3">
        <v>3</v>
      </c>
      <c r="J529" s="5">
        <v>29559.51</v>
      </c>
      <c r="K529" s="5">
        <v>25</v>
      </c>
      <c r="L529" s="5">
        <v>22169.63</v>
      </c>
      <c r="M529" s="5">
        <v>66508.89</v>
      </c>
      <c r="N529" s="5">
        <v>39357.32</v>
      </c>
      <c r="O529" s="5">
        <v>27151.57</v>
      </c>
      <c r="P529" s="24">
        <v>40.82</v>
      </c>
      <c r="Q529" s="6">
        <v>45369</v>
      </c>
      <c r="R529" s="6">
        <v>45372</v>
      </c>
      <c r="S529" s="4" t="s">
        <v>86</v>
      </c>
      <c r="T529" s="4" t="s">
        <v>56</v>
      </c>
      <c r="U529" s="4" t="s">
        <v>87</v>
      </c>
      <c r="V529" s="4" t="s">
        <v>115</v>
      </c>
    </row>
    <row r="530" spans="1:22" ht="18" customHeight="1" x14ac:dyDescent="0.3">
      <c r="A530" s="25" t="s">
        <v>1586</v>
      </c>
      <c r="B530" s="25" t="s">
        <v>1587</v>
      </c>
      <c r="C530" s="26" t="s">
        <v>1140</v>
      </c>
      <c r="D530" s="26" t="s">
        <v>25</v>
      </c>
      <c r="E530" s="26" t="s">
        <v>107</v>
      </c>
      <c r="F530" s="26" t="s">
        <v>83</v>
      </c>
      <c r="G530" s="26" t="s">
        <v>84</v>
      </c>
      <c r="H530" s="26" t="s">
        <v>407</v>
      </c>
      <c r="I530" s="25">
        <v>2</v>
      </c>
      <c r="J530" s="27">
        <v>6756.76</v>
      </c>
      <c r="K530" s="27">
        <v>30</v>
      </c>
      <c r="L530" s="27">
        <v>4729.7299999999996</v>
      </c>
      <c r="M530" s="27">
        <v>9459.4599999999991</v>
      </c>
      <c r="N530" s="27">
        <v>5869.74</v>
      </c>
      <c r="O530" s="27">
        <v>3589.72</v>
      </c>
      <c r="P530" s="28">
        <v>37.950000000000003</v>
      </c>
      <c r="Q530" s="29">
        <v>45259</v>
      </c>
      <c r="R530" s="29">
        <v>45269</v>
      </c>
      <c r="S530" s="26" t="s">
        <v>55</v>
      </c>
      <c r="T530" s="26" t="s">
        <v>56</v>
      </c>
      <c r="U530" s="26" t="s">
        <v>57</v>
      </c>
      <c r="V530" s="26" t="s">
        <v>120</v>
      </c>
    </row>
    <row r="531" spans="1:22" ht="18" customHeight="1" x14ac:dyDescent="0.3">
      <c r="A531" s="3" t="s">
        <v>1588</v>
      </c>
      <c r="B531" s="3" t="s">
        <v>1589</v>
      </c>
      <c r="C531" s="4" t="s">
        <v>1590</v>
      </c>
      <c r="D531" s="4" t="s">
        <v>9</v>
      </c>
      <c r="E531" s="4" t="s">
        <v>62</v>
      </c>
      <c r="F531" s="4" t="s">
        <v>93</v>
      </c>
      <c r="G531" s="4" t="s">
        <v>94</v>
      </c>
      <c r="H531" s="4" t="s">
        <v>1051</v>
      </c>
      <c r="I531" s="3">
        <v>2</v>
      </c>
      <c r="J531" s="5">
        <v>12474.6</v>
      </c>
      <c r="K531" s="5">
        <v>5</v>
      </c>
      <c r="L531" s="5">
        <v>11850.87</v>
      </c>
      <c r="M531" s="5">
        <v>23701.74</v>
      </c>
      <c r="N531" s="5">
        <v>11494.17</v>
      </c>
      <c r="O531" s="5">
        <v>12207.57</v>
      </c>
      <c r="P531" s="24">
        <v>51.5</v>
      </c>
      <c r="Q531" s="6">
        <v>45238</v>
      </c>
      <c r="R531" s="6">
        <v>45241</v>
      </c>
      <c r="S531" s="4" t="s">
        <v>66</v>
      </c>
      <c r="T531" s="4" t="s">
        <v>235</v>
      </c>
      <c r="U531" s="4" t="s">
        <v>67</v>
      </c>
      <c r="V531" s="4" t="s">
        <v>125</v>
      </c>
    </row>
    <row r="532" spans="1:22" ht="18" customHeight="1" x14ac:dyDescent="0.3">
      <c r="A532" s="25" t="s">
        <v>1591</v>
      </c>
      <c r="B532" s="25" t="s">
        <v>1489</v>
      </c>
      <c r="C532" s="26" t="s">
        <v>1592</v>
      </c>
      <c r="D532" s="26" t="s">
        <v>3</v>
      </c>
      <c r="E532" s="26" t="s">
        <v>3</v>
      </c>
      <c r="F532" s="26" t="s">
        <v>52</v>
      </c>
      <c r="G532" s="26" t="s">
        <v>53</v>
      </c>
      <c r="H532" s="26" t="s">
        <v>260</v>
      </c>
      <c r="I532" s="25">
        <v>5</v>
      </c>
      <c r="J532" s="27">
        <v>25803.3</v>
      </c>
      <c r="K532" s="27">
        <v>5</v>
      </c>
      <c r="L532" s="27">
        <v>24513.13</v>
      </c>
      <c r="M532" s="27">
        <v>122565.65</v>
      </c>
      <c r="N532" s="27">
        <v>78279.62</v>
      </c>
      <c r="O532" s="27">
        <v>44286.03</v>
      </c>
      <c r="P532" s="28">
        <v>36.130000000000003</v>
      </c>
      <c r="Q532" s="29">
        <v>45616</v>
      </c>
      <c r="R532" s="29">
        <v>45620</v>
      </c>
      <c r="S532" s="26" t="s">
        <v>76</v>
      </c>
      <c r="T532" s="26" t="s">
        <v>56</v>
      </c>
      <c r="U532" s="26" t="s">
        <v>77</v>
      </c>
      <c r="V532" s="26" t="s">
        <v>58</v>
      </c>
    </row>
    <row r="533" spans="1:22" ht="18" customHeight="1" x14ac:dyDescent="0.3">
      <c r="A533" s="3" t="s">
        <v>1593</v>
      </c>
      <c r="B533" s="3" t="s">
        <v>694</v>
      </c>
      <c r="C533" s="4" t="s">
        <v>631</v>
      </c>
      <c r="D533" s="4" t="s">
        <v>4</v>
      </c>
      <c r="E533" s="4" t="s">
        <v>62</v>
      </c>
      <c r="F533" s="4" t="s">
        <v>63</v>
      </c>
      <c r="G533" s="4" t="s">
        <v>64</v>
      </c>
      <c r="H533" s="4" t="s">
        <v>226</v>
      </c>
      <c r="I533" s="3">
        <v>3</v>
      </c>
      <c r="J533" s="5">
        <v>40074</v>
      </c>
      <c r="K533" s="5">
        <v>0</v>
      </c>
      <c r="L533" s="5">
        <v>40074</v>
      </c>
      <c r="M533" s="5">
        <v>120222</v>
      </c>
      <c r="N533" s="5">
        <v>58304.5</v>
      </c>
      <c r="O533" s="5">
        <v>61917.5</v>
      </c>
      <c r="P533" s="24">
        <v>51.5</v>
      </c>
      <c r="Q533" s="6">
        <v>45462</v>
      </c>
      <c r="R533" s="6">
        <v>45469</v>
      </c>
      <c r="S533" s="4" t="s">
        <v>86</v>
      </c>
      <c r="T533" s="4" t="s">
        <v>56</v>
      </c>
      <c r="U533" s="4" t="s">
        <v>87</v>
      </c>
      <c r="V533" s="4" t="s">
        <v>68</v>
      </c>
    </row>
    <row r="534" spans="1:22" ht="18" customHeight="1" x14ac:dyDescent="0.3">
      <c r="A534" s="25" t="s">
        <v>1594</v>
      </c>
      <c r="B534" s="25" t="s">
        <v>1595</v>
      </c>
      <c r="C534" s="26" t="s">
        <v>1596</v>
      </c>
      <c r="D534" s="26" t="s">
        <v>5</v>
      </c>
      <c r="E534" s="26" t="s">
        <v>72</v>
      </c>
      <c r="F534" s="26" t="s">
        <v>73</v>
      </c>
      <c r="G534" s="26" t="s">
        <v>74</v>
      </c>
      <c r="H534" s="26" t="s">
        <v>114</v>
      </c>
      <c r="I534" s="25">
        <v>9</v>
      </c>
      <c r="J534" s="27">
        <v>44181.07</v>
      </c>
      <c r="K534" s="27">
        <v>5</v>
      </c>
      <c r="L534" s="27">
        <v>41972.02</v>
      </c>
      <c r="M534" s="27">
        <v>377748.18</v>
      </c>
      <c r="N534" s="27">
        <v>215139.11</v>
      </c>
      <c r="O534" s="27">
        <v>162609.07</v>
      </c>
      <c r="P534" s="28">
        <v>43.05</v>
      </c>
      <c r="Q534" s="29">
        <v>45128</v>
      </c>
      <c r="R534" s="29">
        <v>45138</v>
      </c>
      <c r="S534" s="26" t="s">
        <v>55</v>
      </c>
      <c r="T534" s="26" t="s">
        <v>56</v>
      </c>
      <c r="U534" s="26" t="s">
        <v>57</v>
      </c>
      <c r="V534" s="26" t="s">
        <v>78</v>
      </c>
    </row>
    <row r="535" spans="1:22" ht="18" customHeight="1" x14ac:dyDescent="0.3">
      <c r="A535" s="3" t="s">
        <v>1597</v>
      </c>
      <c r="B535" s="3" t="s">
        <v>1598</v>
      </c>
      <c r="C535" s="4" t="s">
        <v>1599</v>
      </c>
      <c r="D535" s="4" t="s">
        <v>6</v>
      </c>
      <c r="E535" s="4" t="s">
        <v>82</v>
      </c>
      <c r="F535" s="4" t="s">
        <v>83</v>
      </c>
      <c r="G535" s="4" t="s">
        <v>84</v>
      </c>
      <c r="H535" s="4" t="s">
        <v>491</v>
      </c>
      <c r="I535" s="3">
        <v>4</v>
      </c>
      <c r="J535" s="5">
        <v>36902.559999999998</v>
      </c>
      <c r="K535" s="5">
        <v>15</v>
      </c>
      <c r="L535" s="5">
        <v>31367.18</v>
      </c>
      <c r="M535" s="5">
        <v>125468.72</v>
      </c>
      <c r="N535" s="5">
        <v>76733.399999999994</v>
      </c>
      <c r="O535" s="5">
        <v>48735.32</v>
      </c>
      <c r="P535" s="24">
        <v>38.840000000000003</v>
      </c>
      <c r="Q535" s="6">
        <v>44950</v>
      </c>
      <c r="R535" s="6">
        <v>44958</v>
      </c>
      <c r="S535" s="4" t="s">
        <v>66</v>
      </c>
      <c r="T535" s="4" t="s">
        <v>56</v>
      </c>
      <c r="U535" s="4" t="s">
        <v>67</v>
      </c>
      <c r="V535" s="4" t="s">
        <v>88</v>
      </c>
    </row>
    <row r="536" spans="1:22" ht="18" customHeight="1" x14ac:dyDescent="0.3">
      <c r="A536" s="25" t="s">
        <v>1600</v>
      </c>
      <c r="B536" s="25" t="s">
        <v>356</v>
      </c>
      <c r="C536" s="26" t="s">
        <v>1601</v>
      </c>
      <c r="D536" s="26" t="s">
        <v>7</v>
      </c>
      <c r="E536" s="26" t="s">
        <v>92</v>
      </c>
      <c r="F536" s="26" t="s">
        <v>93</v>
      </c>
      <c r="G536" s="26" t="s">
        <v>94</v>
      </c>
      <c r="H536" s="26" t="s">
        <v>291</v>
      </c>
      <c r="I536" s="25">
        <v>1</v>
      </c>
      <c r="J536" s="27">
        <v>3455.72</v>
      </c>
      <c r="K536" s="27">
        <v>20</v>
      </c>
      <c r="L536" s="27">
        <v>2764.58</v>
      </c>
      <c r="M536" s="27">
        <v>2764.58</v>
      </c>
      <c r="N536" s="27">
        <v>2004.37</v>
      </c>
      <c r="O536" s="27">
        <v>760.21</v>
      </c>
      <c r="P536" s="28">
        <v>27.5</v>
      </c>
      <c r="Q536" s="29">
        <v>45254</v>
      </c>
      <c r="R536" s="29">
        <v>45260</v>
      </c>
      <c r="S536" s="26" t="s">
        <v>76</v>
      </c>
      <c r="T536" s="26" t="s">
        <v>56</v>
      </c>
      <c r="U536" s="26" t="s">
        <v>77</v>
      </c>
      <c r="V536" s="26" t="s">
        <v>96</v>
      </c>
    </row>
    <row r="537" spans="1:22" ht="18" customHeight="1" x14ac:dyDescent="0.3">
      <c r="A537" s="3" t="s">
        <v>1602</v>
      </c>
      <c r="B537" s="3" t="s">
        <v>1603</v>
      </c>
      <c r="C537" s="4" t="s">
        <v>1604</v>
      </c>
      <c r="D537" s="4" t="s">
        <v>8</v>
      </c>
      <c r="E537" s="4" t="s">
        <v>100</v>
      </c>
      <c r="F537" s="4" t="s">
        <v>52</v>
      </c>
      <c r="G537" s="4" t="s">
        <v>53</v>
      </c>
      <c r="H537" s="4" t="s">
        <v>294</v>
      </c>
      <c r="I537" s="3">
        <v>2</v>
      </c>
      <c r="J537" s="5">
        <v>12783.07</v>
      </c>
      <c r="K537" s="5">
        <v>20</v>
      </c>
      <c r="L537" s="5">
        <v>10226.459999999999</v>
      </c>
      <c r="M537" s="5">
        <v>20452.919999999998</v>
      </c>
      <c r="N537" s="5">
        <v>10727.81</v>
      </c>
      <c r="O537" s="5">
        <v>9725.11</v>
      </c>
      <c r="P537" s="24">
        <v>47.55</v>
      </c>
      <c r="Q537" s="6">
        <v>45321</v>
      </c>
      <c r="R537" s="6">
        <v>45328</v>
      </c>
      <c r="S537" s="4" t="s">
        <v>86</v>
      </c>
      <c r="T537" s="4" t="s">
        <v>56</v>
      </c>
      <c r="U537" s="4" t="s">
        <v>87</v>
      </c>
      <c r="V537" s="4" t="s">
        <v>103</v>
      </c>
    </row>
    <row r="538" spans="1:22" ht="18" customHeight="1" x14ac:dyDescent="0.3">
      <c r="A538" s="25" t="s">
        <v>1605</v>
      </c>
      <c r="B538" s="25" t="s">
        <v>1563</v>
      </c>
      <c r="C538" s="26" t="s">
        <v>423</v>
      </c>
      <c r="D538" s="26" t="s">
        <v>23</v>
      </c>
      <c r="E538" s="26" t="s">
        <v>107</v>
      </c>
      <c r="F538" s="26" t="s">
        <v>63</v>
      </c>
      <c r="G538" s="26" t="s">
        <v>64</v>
      </c>
      <c r="H538" s="26" t="s">
        <v>1372</v>
      </c>
      <c r="I538" s="25">
        <v>10</v>
      </c>
      <c r="J538" s="27">
        <v>40594.94</v>
      </c>
      <c r="K538" s="27">
        <v>30</v>
      </c>
      <c r="L538" s="27">
        <v>28416.46</v>
      </c>
      <c r="M538" s="27">
        <v>284164.59999999998</v>
      </c>
      <c r="N538" s="27">
        <v>146227.22</v>
      </c>
      <c r="O538" s="27">
        <v>137937.38</v>
      </c>
      <c r="P538" s="28">
        <v>48.54</v>
      </c>
      <c r="Q538" s="29">
        <v>45465</v>
      </c>
      <c r="R538" s="29">
        <v>45469</v>
      </c>
      <c r="S538" s="26" t="s">
        <v>55</v>
      </c>
      <c r="T538" s="26" t="s">
        <v>56</v>
      </c>
      <c r="U538" s="26" t="s">
        <v>57</v>
      </c>
      <c r="V538" s="26" t="s">
        <v>109</v>
      </c>
    </row>
    <row r="539" spans="1:22" ht="18" customHeight="1" x14ac:dyDescent="0.3">
      <c r="A539" s="3" t="s">
        <v>1606</v>
      </c>
      <c r="B539" s="3" t="s">
        <v>1510</v>
      </c>
      <c r="C539" s="4" t="s">
        <v>1607</v>
      </c>
      <c r="D539" s="4" t="s">
        <v>24</v>
      </c>
      <c r="E539" s="4" t="s">
        <v>113</v>
      </c>
      <c r="F539" s="4" t="s">
        <v>73</v>
      </c>
      <c r="G539" s="4" t="s">
        <v>74</v>
      </c>
      <c r="H539" s="4" t="s">
        <v>455</v>
      </c>
      <c r="I539" s="3">
        <v>3</v>
      </c>
      <c r="J539" s="5">
        <v>16730.37</v>
      </c>
      <c r="K539" s="5">
        <v>25</v>
      </c>
      <c r="L539" s="5">
        <v>12547.78</v>
      </c>
      <c r="M539" s="5">
        <v>37643.339999999997</v>
      </c>
      <c r="N539" s="5">
        <v>25239.49</v>
      </c>
      <c r="O539" s="5">
        <v>12403.85</v>
      </c>
      <c r="P539" s="24">
        <v>32.950000000000003</v>
      </c>
      <c r="Q539" s="6">
        <v>45322</v>
      </c>
      <c r="R539" s="6">
        <v>45327</v>
      </c>
      <c r="S539" s="4" t="s">
        <v>66</v>
      </c>
      <c r="T539" s="4" t="s">
        <v>56</v>
      </c>
      <c r="U539" s="4" t="s">
        <v>67</v>
      </c>
      <c r="V539" s="4" t="s">
        <v>115</v>
      </c>
    </row>
    <row r="540" spans="1:22" ht="18" customHeight="1" x14ac:dyDescent="0.3">
      <c r="A540" s="25" t="s">
        <v>1608</v>
      </c>
      <c r="B540" s="25" t="s">
        <v>1609</v>
      </c>
      <c r="C540" s="26" t="s">
        <v>989</v>
      </c>
      <c r="D540" s="26" t="s">
        <v>25</v>
      </c>
      <c r="E540" s="26" t="s">
        <v>107</v>
      </c>
      <c r="F540" s="26" t="s">
        <v>83</v>
      </c>
      <c r="G540" s="26" t="s">
        <v>84</v>
      </c>
      <c r="H540" s="26" t="s">
        <v>339</v>
      </c>
      <c r="I540" s="25">
        <v>4</v>
      </c>
      <c r="J540" s="27">
        <v>7300.31</v>
      </c>
      <c r="K540" s="27">
        <v>25</v>
      </c>
      <c r="L540" s="27">
        <v>5475.23</v>
      </c>
      <c r="M540" s="27">
        <v>21900.92</v>
      </c>
      <c r="N540" s="27">
        <v>11846.87</v>
      </c>
      <c r="O540" s="27">
        <v>10054.049999999999</v>
      </c>
      <c r="P540" s="28">
        <v>45.91</v>
      </c>
      <c r="Q540" s="29">
        <v>45016</v>
      </c>
      <c r="R540" s="29">
        <v>45026</v>
      </c>
      <c r="S540" s="26" t="s">
        <v>76</v>
      </c>
      <c r="T540" s="26" t="s">
        <v>56</v>
      </c>
      <c r="U540" s="26" t="s">
        <v>77</v>
      </c>
      <c r="V540" s="26" t="s">
        <v>120</v>
      </c>
    </row>
    <row r="541" spans="1:22" ht="18" customHeight="1" x14ac:dyDescent="0.3">
      <c r="A541" s="3" t="s">
        <v>1610</v>
      </c>
      <c r="B541" s="3" t="s">
        <v>900</v>
      </c>
      <c r="C541" s="4" t="s">
        <v>1611</v>
      </c>
      <c r="D541" s="4" t="s">
        <v>9</v>
      </c>
      <c r="E541" s="4" t="s">
        <v>62</v>
      </c>
      <c r="F541" s="4" t="s">
        <v>93</v>
      </c>
      <c r="G541" s="4" t="s">
        <v>94</v>
      </c>
      <c r="H541" s="4" t="s">
        <v>183</v>
      </c>
      <c r="I541" s="3">
        <v>8</v>
      </c>
      <c r="J541" s="5">
        <v>29889.439999999999</v>
      </c>
      <c r="K541" s="5">
        <v>15</v>
      </c>
      <c r="L541" s="5">
        <v>25406.02</v>
      </c>
      <c r="M541" s="5">
        <v>203248.16</v>
      </c>
      <c r="N541" s="5">
        <v>152318.74</v>
      </c>
      <c r="O541" s="5">
        <v>50929.42</v>
      </c>
      <c r="P541" s="24">
        <v>25.06</v>
      </c>
      <c r="Q541" s="6">
        <v>45224</v>
      </c>
      <c r="R541" s="6">
        <v>45232</v>
      </c>
      <c r="S541" s="4" t="s">
        <v>86</v>
      </c>
      <c r="T541" s="4" t="s">
        <v>56</v>
      </c>
      <c r="U541" s="4" t="s">
        <v>87</v>
      </c>
      <c r="V541" s="4" t="s">
        <v>125</v>
      </c>
    </row>
    <row r="542" spans="1:22" ht="18" customHeight="1" x14ac:dyDescent="0.3">
      <c r="A542" s="25" t="s">
        <v>1612</v>
      </c>
      <c r="B542" s="25" t="s">
        <v>1341</v>
      </c>
      <c r="C542" s="26" t="s">
        <v>1613</v>
      </c>
      <c r="D542" s="26" t="s">
        <v>3</v>
      </c>
      <c r="E542" s="26" t="s">
        <v>3</v>
      </c>
      <c r="F542" s="26" t="s">
        <v>52</v>
      </c>
      <c r="G542" s="26" t="s">
        <v>53</v>
      </c>
      <c r="H542" s="26" t="s">
        <v>187</v>
      </c>
      <c r="I542" s="25">
        <v>1</v>
      </c>
      <c r="J542" s="27">
        <v>9338.66</v>
      </c>
      <c r="K542" s="27">
        <v>25</v>
      </c>
      <c r="L542" s="27">
        <v>7003.99</v>
      </c>
      <c r="M542" s="27">
        <v>7003.99</v>
      </c>
      <c r="N542" s="27">
        <v>3815.98</v>
      </c>
      <c r="O542" s="27">
        <v>3188.01</v>
      </c>
      <c r="P542" s="28">
        <v>45.52</v>
      </c>
      <c r="Q542" s="29">
        <v>45461</v>
      </c>
      <c r="R542" s="29">
        <v>45470</v>
      </c>
      <c r="S542" s="26" t="s">
        <v>55</v>
      </c>
      <c r="T542" s="26" t="s">
        <v>56</v>
      </c>
      <c r="U542" s="26" t="s">
        <v>57</v>
      </c>
      <c r="V542" s="26" t="s">
        <v>58</v>
      </c>
    </row>
    <row r="543" spans="1:22" ht="18" customHeight="1" x14ac:dyDescent="0.3">
      <c r="A543" s="3" t="s">
        <v>1614</v>
      </c>
      <c r="B543" s="3" t="s">
        <v>1615</v>
      </c>
      <c r="C543" s="4" t="s">
        <v>229</v>
      </c>
      <c r="D543" s="4" t="s">
        <v>4</v>
      </c>
      <c r="E543" s="4" t="s">
        <v>62</v>
      </c>
      <c r="F543" s="4" t="s">
        <v>63</v>
      </c>
      <c r="G543" s="4" t="s">
        <v>64</v>
      </c>
      <c r="H543" s="4" t="s">
        <v>226</v>
      </c>
      <c r="I543" s="3">
        <v>4</v>
      </c>
      <c r="J543" s="5">
        <v>31751.52</v>
      </c>
      <c r="K543" s="5">
        <v>5</v>
      </c>
      <c r="L543" s="5">
        <v>30163.94</v>
      </c>
      <c r="M543" s="5">
        <v>120655.76</v>
      </c>
      <c r="N543" s="5">
        <v>70371.009999999995</v>
      </c>
      <c r="O543" s="5">
        <v>50284.75</v>
      </c>
      <c r="P543" s="24">
        <v>41.68</v>
      </c>
      <c r="Q543" s="6">
        <v>45392</v>
      </c>
      <c r="R543" s="6">
        <v>45401</v>
      </c>
      <c r="S543" s="4" t="s">
        <v>66</v>
      </c>
      <c r="T543" s="4" t="s">
        <v>56</v>
      </c>
      <c r="U543" s="4" t="s">
        <v>67</v>
      </c>
      <c r="V543" s="4" t="s">
        <v>68</v>
      </c>
    </row>
    <row r="544" spans="1:22" ht="18" customHeight="1" x14ac:dyDescent="0.3">
      <c r="A544" s="25" t="s">
        <v>1616</v>
      </c>
      <c r="B544" s="25" t="s">
        <v>1617</v>
      </c>
      <c r="C544" s="26" t="s">
        <v>1618</v>
      </c>
      <c r="D544" s="26" t="s">
        <v>5</v>
      </c>
      <c r="E544" s="26" t="s">
        <v>72</v>
      </c>
      <c r="F544" s="26" t="s">
        <v>73</v>
      </c>
      <c r="G544" s="26" t="s">
        <v>74</v>
      </c>
      <c r="H544" s="26" t="s">
        <v>455</v>
      </c>
      <c r="I544" s="25">
        <v>3</v>
      </c>
      <c r="J544" s="27">
        <v>21300.75</v>
      </c>
      <c r="K544" s="27">
        <v>0</v>
      </c>
      <c r="L544" s="27">
        <v>21300.75</v>
      </c>
      <c r="M544" s="27">
        <v>63902.25</v>
      </c>
      <c r="N544" s="27">
        <v>36970.01</v>
      </c>
      <c r="O544" s="27">
        <v>26932.240000000002</v>
      </c>
      <c r="P544" s="28">
        <v>42.15</v>
      </c>
      <c r="Q544" s="29">
        <v>45359</v>
      </c>
      <c r="R544" s="29">
        <v>45362</v>
      </c>
      <c r="S544" s="26" t="s">
        <v>76</v>
      </c>
      <c r="T544" s="26" t="s">
        <v>56</v>
      </c>
      <c r="U544" s="26" t="s">
        <v>77</v>
      </c>
      <c r="V544" s="26" t="s">
        <v>78</v>
      </c>
    </row>
    <row r="545" spans="1:22" ht="18" customHeight="1" x14ac:dyDescent="0.3">
      <c r="A545" s="3" t="s">
        <v>1619</v>
      </c>
      <c r="B545" s="3" t="s">
        <v>1425</v>
      </c>
      <c r="C545" s="4" t="s">
        <v>155</v>
      </c>
      <c r="D545" s="4" t="s">
        <v>6</v>
      </c>
      <c r="E545" s="4" t="s">
        <v>82</v>
      </c>
      <c r="F545" s="4" t="s">
        <v>83</v>
      </c>
      <c r="G545" s="4" t="s">
        <v>84</v>
      </c>
      <c r="H545" s="4" t="s">
        <v>1021</v>
      </c>
      <c r="I545" s="3">
        <v>7</v>
      </c>
      <c r="J545" s="5">
        <v>38077.61</v>
      </c>
      <c r="K545" s="5">
        <v>0</v>
      </c>
      <c r="L545" s="5">
        <v>38077.61</v>
      </c>
      <c r="M545" s="5">
        <v>266543.27</v>
      </c>
      <c r="N545" s="5">
        <v>120061.49</v>
      </c>
      <c r="O545" s="5">
        <v>146481.78</v>
      </c>
      <c r="P545" s="24">
        <v>54.96</v>
      </c>
      <c r="Q545" s="6">
        <v>45443</v>
      </c>
      <c r="R545" s="6">
        <v>45445</v>
      </c>
      <c r="S545" s="4" t="s">
        <v>86</v>
      </c>
      <c r="T545" s="4" t="s">
        <v>56</v>
      </c>
      <c r="U545" s="4" t="s">
        <v>87</v>
      </c>
      <c r="V545" s="4" t="s">
        <v>88</v>
      </c>
    </row>
    <row r="546" spans="1:22" ht="18" customHeight="1" x14ac:dyDescent="0.3">
      <c r="A546" s="25" t="s">
        <v>1620</v>
      </c>
      <c r="B546" s="25" t="s">
        <v>1482</v>
      </c>
      <c r="C546" s="26" t="s">
        <v>1621</v>
      </c>
      <c r="D546" s="26" t="s">
        <v>7</v>
      </c>
      <c r="E546" s="26" t="s">
        <v>92</v>
      </c>
      <c r="F546" s="26" t="s">
        <v>93</v>
      </c>
      <c r="G546" s="26" t="s">
        <v>94</v>
      </c>
      <c r="H546" s="26" t="s">
        <v>358</v>
      </c>
      <c r="I546" s="25">
        <v>6</v>
      </c>
      <c r="J546" s="27">
        <v>30224.74</v>
      </c>
      <c r="K546" s="27">
        <v>0</v>
      </c>
      <c r="L546" s="27">
        <v>30224.74</v>
      </c>
      <c r="M546" s="27">
        <v>181348.44</v>
      </c>
      <c r="N546" s="27">
        <v>129041.27</v>
      </c>
      <c r="O546" s="27">
        <v>52307.17</v>
      </c>
      <c r="P546" s="28">
        <v>28.84</v>
      </c>
      <c r="Q546" s="29">
        <v>45265</v>
      </c>
      <c r="R546" s="29">
        <v>45269</v>
      </c>
      <c r="S546" s="26" t="s">
        <v>55</v>
      </c>
      <c r="T546" s="26" t="s">
        <v>56</v>
      </c>
      <c r="U546" s="26" t="s">
        <v>57</v>
      </c>
      <c r="V546" s="26" t="s">
        <v>96</v>
      </c>
    </row>
    <row r="547" spans="1:22" ht="18" customHeight="1" x14ac:dyDescent="0.3">
      <c r="A547" s="3" t="s">
        <v>1622</v>
      </c>
      <c r="B547" s="3" t="s">
        <v>1623</v>
      </c>
      <c r="C547" s="4" t="s">
        <v>1624</v>
      </c>
      <c r="D547" s="4" t="s">
        <v>8</v>
      </c>
      <c r="E547" s="4" t="s">
        <v>100</v>
      </c>
      <c r="F547" s="4" t="s">
        <v>52</v>
      </c>
      <c r="G547" s="4" t="s">
        <v>53</v>
      </c>
      <c r="H547" s="4" t="s">
        <v>378</v>
      </c>
      <c r="I547" s="3">
        <v>1</v>
      </c>
      <c r="J547" s="5">
        <v>4589.04</v>
      </c>
      <c r="K547" s="5">
        <v>10</v>
      </c>
      <c r="L547" s="5">
        <v>4130.1400000000003</v>
      </c>
      <c r="M547" s="5">
        <v>4130.1400000000003</v>
      </c>
      <c r="N547" s="5">
        <v>3048.96</v>
      </c>
      <c r="O547" s="5">
        <v>1081.18</v>
      </c>
      <c r="P547" s="24">
        <v>26.18</v>
      </c>
      <c r="Q547" s="6">
        <v>45030</v>
      </c>
      <c r="R547" s="6">
        <v>45035</v>
      </c>
      <c r="S547" s="4" t="s">
        <v>66</v>
      </c>
      <c r="T547" s="4" t="s">
        <v>56</v>
      </c>
      <c r="U547" s="4" t="s">
        <v>67</v>
      </c>
      <c r="V547" s="4" t="s">
        <v>103</v>
      </c>
    </row>
    <row r="548" spans="1:22" ht="18" customHeight="1" x14ac:dyDescent="0.3">
      <c r="A548" s="25" t="s">
        <v>1625</v>
      </c>
      <c r="B548" s="25" t="s">
        <v>1626</v>
      </c>
      <c r="C548" s="26" t="s">
        <v>1627</v>
      </c>
      <c r="D548" s="26" t="s">
        <v>23</v>
      </c>
      <c r="E548" s="26" t="s">
        <v>107</v>
      </c>
      <c r="F548" s="26" t="s">
        <v>63</v>
      </c>
      <c r="G548" s="26" t="s">
        <v>64</v>
      </c>
      <c r="H548" s="26" t="s">
        <v>226</v>
      </c>
      <c r="I548" s="25">
        <v>9</v>
      </c>
      <c r="J548" s="27">
        <v>32846.370000000003</v>
      </c>
      <c r="K548" s="27">
        <v>5</v>
      </c>
      <c r="L548" s="27">
        <v>31204.05</v>
      </c>
      <c r="M548" s="27">
        <v>280836.45</v>
      </c>
      <c r="N548" s="27">
        <v>199761.2</v>
      </c>
      <c r="O548" s="27">
        <v>81075.25</v>
      </c>
      <c r="P548" s="28">
        <v>28.87</v>
      </c>
      <c r="Q548" s="29">
        <v>44974</v>
      </c>
      <c r="R548" s="29">
        <v>44978</v>
      </c>
      <c r="S548" s="26" t="s">
        <v>76</v>
      </c>
      <c r="T548" s="26" t="s">
        <v>56</v>
      </c>
      <c r="U548" s="26" t="s">
        <v>77</v>
      </c>
      <c r="V548" s="26" t="s">
        <v>109</v>
      </c>
    </row>
    <row r="549" spans="1:22" ht="18" customHeight="1" x14ac:dyDescent="0.3">
      <c r="A549" s="3" t="s">
        <v>1628</v>
      </c>
      <c r="B549" s="3" t="s">
        <v>1629</v>
      </c>
      <c r="C549" s="4" t="s">
        <v>1630</v>
      </c>
      <c r="D549" s="4" t="s">
        <v>24</v>
      </c>
      <c r="E549" s="4" t="s">
        <v>113</v>
      </c>
      <c r="F549" s="4" t="s">
        <v>73</v>
      </c>
      <c r="G549" s="4" t="s">
        <v>74</v>
      </c>
      <c r="H549" s="4" t="s">
        <v>471</v>
      </c>
      <c r="I549" s="3">
        <v>9</v>
      </c>
      <c r="J549" s="5">
        <v>29677.27</v>
      </c>
      <c r="K549" s="5">
        <v>10</v>
      </c>
      <c r="L549" s="5">
        <v>26709.54</v>
      </c>
      <c r="M549" s="5">
        <v>240385.86</v>
      </c>
      <c r="N549" s="5">
        <v>137039.71</v>
      </c>
      <c r="O549" s="5">
        <v>103346.15</v>
      </c>
      <c r="P549" s="24">
        <v>42.99</v>
      </c>
      <c r="Q549" s="6">
        <v>45444</v>
      </c>
      <c r="R549" s="6">
        <v>45445</v>
      </c>
      <c r="S549" s="4" t="s">
        <v>86</v>
      </c>
      <c r="T549" s="4" t="s">
        <v>56</v>
      </c>
      <c r="U549" s="4" t="s">
        <v>87</v>
      </c>
      <c r="V549" s="4" t="s">
        <v>115</v>
      </c>
    </row>
    <row r="550" spans="1:22" ht="18" customHeight="1" x14ac:dyDescent="0.3">
      <c r="A550" s="25" t="s">
        <v>1631</v>
      </c>
      <c r="B550" s="25" t="s">
        <v>1632</v>
      </c>
      <c r="C550" s="26" t="s">
        <v>860</v>
      </c>
      <c r="D550" s="26" t="s">
        <v>25</v>
      </c>
      <c r="E550" s="26" t="s">
        <v>107</v>
      </c>
      <c r="F550" s="26" t="s">
        <v>83</v>
      </c>
      <c r="G550" s="26" t="s">
        <v>84</v>
      </c>
      <c r="H550" s="26" t="s">
        <v>1021</v>
      </c>
      <c r="I550" s="25">
        <v>8</v>
      </c>
      <c r="J550" s="27">
        <v>29339.75</v>
      </c>
      <c r="K550" s="27">
        <v>20</v>
      </c>
      <c r="L550" s="27">
        <v>23471.8</v>
      </c>
      <c r="M550" s="27">
        <v>187774.4</v>
      </c>
      <c r="N550" s="27">
        <v>101378.99</v>
      </c>
      <c r="O550" s="27">
        <v>86395.41</v>
      </c>
      <c r="P550" s="28">
        <v>46.01</v>
      </c>
      <c r="Q550" s="29">
        <v>45469</v>
      </c>
      <c r="R550" s="29">
        <v>45479</v>
      </c>
      <c r="S550" s="26" t="s">
        <v>55</v>
      </c>
      <c r="T550" s="26" t="s">
        <v>56</v>
      </c>
      <c r="U550" s="26" t="s">
        <v>57</v>
      </c>
      <c r="V550" s="26" t="s">
        <v>120</v>
      </c>
    </row>
    <row r="551" spans="1:22" ht="18" customHeight="1" x14ac:dyDescent="0.3">
      <c r="A551" s="3" t="s">
        <v>1633</v>
      </c>
      <c r="B551" s="3" t="s">
        <v>1634</v>
      </c>
      <c r="C551" s="4" t="s">
        <v>989</v>
      </c>
      <c r="D551" s="4" t="s">
        <v>9</v>
      </c>
      <c r="E551" s="4" t="s">
        <v>62</v>
      </c>
      <c r="F551" s="4" t="s">
        <v>93</v>
      </c>
      <c r="G551" s="4" t="s">
        <v>94</v>
      </c>
      <c r="H551" s="4" t="s">
        <v>374</v>
      </c>
      <c r="I551" s="3">
        <v>7</v>
      </c>
      <c r="J551" s="5">
        <v>33445.08</v>
      </c>
      <c r="K551" s="5">
        <v>20</v>
      </c>
      <c r="L551" s="5">
        <v>26756.06</v>
      </c>
      <c r="M551" s="5">
        <v>187292.42</v>
      </c>
      <c r="N551" s="5">
        <v>111468.41</v>
      </c>
      <c r="O551" s="5">
        <v>75824.009999999995</v>
      </c>
      <c r="P551" s="24">
        <v>40.479999999999997</v>
      </c>
      <c r="Q551" s="6">
        <v>45149</v>
      </c>
      <c r="R551" s="6">
        <v>45159</v>
      </c>
      <c r="S551" s="4" t="s">
        <v>66</v>
      </c>
      <c r="T551" s="4" t="s">
        <v>56</v>
      </c>
      <c r="U551" s="4" t="s">
        <v>67</v>
      </c>
      <c r="V551" s="4" t="s">
        <v>125</v>
      </c>
    </row>
    <row r="552" spans="1:22" ht="18" customHeight="1" x14ac:dyDescent="0.3">
      <c r="A552" s="25" t="s">
        <v>1635</v>
      </c>
      <c r="B552" s="25" t="s">
        <v>1636</v>
      </c>
      <c r="C552" s="26" t="s">
        <v>1440</v>
      </c>
      <c r="D552" s="26" t="s">
        <v>3</v>
      </c>
      <c r="E552" s="26" t="s">
        <v>3</v>
      </c>
      <c r="F552" s="26" t="s">
        <v>52</v>
      </c>
      <c r="G552" s="26" t="s">
        <v>53</v>
      </c>
      <c r="H552" s="26" t="s">
        <v>613</v>
      </c>
      <c r="I552" s="25">
        <v>3</v>
      </c>
      <c r="J552" s="27">
        <v>657.62</v>
      </c>
      <c r="K552" s="27">
        <v>25</v>
      </c>
      <c r="L552" s="27">
        <v>493.22</v>
      </c>
      <c r="M552" s="27">
        <v>1479.66</v>
      </c>
      <c r="N552" s="27">
        <v>927.83</v>
      </c>
      <c r="O552" s="27">
        <v>551.83000000000004</v>
      </c>
      <c r="P552" s="28">
        <v>37.29</v>
      </c>
      <c r="Q552" s="29">
        <v>45103</v>
      </c>
      <c r="R552" s="29">
        <v>45110</v>
      </c>
      <c r="S552" s="26" t="s">
        <v>76</v>
      </c>
      <c r="T552" s="26" t="s">
        <v>56</v>
      </c>
      <c r="U552" s="26" t="s">
        <v>77</v>
      </c>
      <c r="V552" s="26" t="s">
        <v>58</v>
      </c>
    </row>
    <row r="553" spans="1:22" ht="18" customHeight="1" x14ac:dyDescent="0.3">
      <c r="A553" s="3" t="s">
        <v>1637</v>
      </c>
      <c r="B553" s="3" t="s">
        <v>1638</v>
      </c>
      <c r="C553" s="4" t="s">
        <v>1639</v>
      </c>
      <c r="D553" s="4" t="s">
        <v>4</v>
      </c>
      <c r="E553" s="4" t="s">
        <v>62</v>
      </c>
      <c r="F553" s="4" t="s">
        <v>63</v>
      </c>
      <c r="G553" s="4" t="s">
        <v>64</v>
      </c>
      <c r="H553" s="4" t="s">
        <v>207</v>
      </c>
      <c r="I553" s="3">
        <v>5</v>
      </c>
      <c r="J553" s="5">
        <v>21014.77</v>
      </c>
      <c r="K553" s="5">
        <v>25</v>
      </c>
      <c r="L553" s="5">
        <v>15761.08</v>
      </c>
      <c r="M553" s="5">
        <v>78805.399999999994</v>
      </c>
      <c r="N553" s="5">
        <v>36651.29</v>
      </c>
      <c r="O553" s="5">
        <v>42154.11</v>
      </c>
      <c r="P553" s="24">
        <v>53.49</v>
      </c>
      <c r="Q553" s="6">
        <v>45551</v>
      </c>
      <c r="R553" s="6">
        <v>45553</v>
      </c>
      <c r="S553" s="4" t="s">
        <v>86</v>
      </c>
      <c r="T553" s="4" t="s">
        <v>56</v>
      </c>
      <c r="U553" s="4" t="s">
        <v>87</v>
      </c>
      <c r="V553" s="4" t="s">
        <v>68</v>
      </c>
    </row>
    <row r="554" spans="1:22" ht="18" customHeight="1" x14ac:dyDescent="0.3">
      <c r="A554" s="25" t="s">
        <v>1640</v>
      </c>
      <c r="B554" s="25" t="s">
        <v>1641</v>
      </c>
      <c r="C554" s="26" t="s">
        <v>922</v>
      </c>
      <c r="D554" s="26" t="s">
        <v>5</v>
      </c>
      <c r="E554" s="26" t="s">
        <v>72</v>
      </c>
      <c r="F554" s="26" t="s">
        <v>73</v>
      </c>
      <c r="G554" s="26" t="s">
        <v>74</v>
      </c>
      <c r="H554" s="26" t="s">
        <v>319</v>
      </c>
      <c r="I554" s="25">
        <v>8</v>
      </c>
      <c r="J554" s="27">
        <v>11248.69</v>
      </c>
      <c r="K554" s="27">
        <v>30</v>
      </c>
      <c r="L554" s="27">
        <v>7874.08</v>
      </c>
      <c r="M554" s="27">
        <v>62992.639999999999</v>
      </c>
      <c r="N554" s="27">
        <v>43369.43</v>
      </c>
      <c r="O554" s="27">
        <v>19623.21</v>
      </c>
      <c r="P554" s="28">
        <v>31.15</v>
      </c>
      <c r="Q554" s="29">
        <v>45182</v>
      </c>
      <c r="R554" s="29">
        <v>45190</v>
      </c>
      <c r="S554" s="26" t="s">
        <v>55</v>
      </c>
      <c r="T554" s="26" t="s">
        <v>56</v>
      </c>
      <c r="U554" s="26" t="s">
        <v>57</v>
      </c>
      <c r="V554" s="26" t="s">
        <v>78</v>
      </c>
    </row>
    <row r="555" spans="1:22" ht="18" customHeight="1" x14ac:dyDescent="0.3">
      <c r="A555" s="3" t="s">
        <v>1642</v>
      </c>
      <c r="B555" s="3" t="s">
        <v>1643</v>
      </c>
      <c r="C555" s="4" t="s">
        <v>1230</v>
      </c>
      <c r="D555" s="4" t="s">
        <v>6</v>
      </c>
      <c r="E555" s="4" t="s">
        <v>82</v>
      </c>
      <c r="F555" s="4" t="s">
        <v>83</v>
      </c>
      <c r="G555" s="4" t="s">
        <v>84</v>
      </c>
      <c r="H555" s="4" t="s">
        <v>197</v>
      </c>
      <c r="I555" s="3">
        <v>7</v>
      </c>
      <c r="J555" s="5">
        <v>3984</v>
      </c>
      <c r="K555" s="5">
        <v>15</v>
      </c>
      <c r="L555" s="5">
        <v>3386.4</v>
      </c>
      <c r="M555" s="5">
        <v>23704.799999999999</v>
      </c>
      <c r="N555" s="5">
        <v>17634.55</v>
      </c>
      <c r="O555" s="5">
        <v>6070.25</v>
      </c>
      <c r="P555" s="24">
        <v>25.61</v>
      </c>
      <c r="Q555" s="6">
        <v>45239</v>
      </c>
      <c r="R555" s="6">
        <v>45247</v>
      </c>
      <c r="S555" s="4" t="s">
        <v>66</v>
      </c>
      <c r="T555" s="4" t="s">
        <v>56</v>
      </c>
      <c r="U555" s="4" t="s">
        <v>67</v>
      </c>
      <c r="V555" s="4" t="s">
        <v>88</v>
      </c>
    </row>
    <row r="556" spans="1:22" ht="18" customHeight="1" x14ac:dyDescent="0.3">
      <c r="A556" s="25" t="s">
        <v>1644</v>
      </c>
      <c r="B556" s="25" t="s">
        <v>1645</v>
      </c>
      <c r="C556" s="26" t="s">
        <v>1627</v>
      </c>
      <c r="D556" s="26" t="s">
        <v>7</v>
      </c>
      <c r="E556" s="26" t="s">
        <v>92</v>
      </c>
      <c r="F556" s="26" t="s">
        <v>93</v>
      </c>
      <c r="G556" s="26" t="s">
        <v>94</v>
      </c>
      <c r="H556" s="26" t="s">
        <v>219</v>
      </c>
      <c r="I556" s="25">
        <v>4</v>
      </c>
      <c r="J556" s="27">
        <v>13127.84</v>
      </c>
      <c r="K556" s="27">
        <v>15</v>
      </c>
      <c r="L556" s="27">
        <v>11158.66</v>
      </c>
      <c r="M556" s="27">
        <v>44634.64</v>
      </c>
      <c r="N556" s="27">
        <v>21165.26</v>
      </c>
      <c r="O556" s="27">
        <v>23469.38</v>
      </c>
      <c r="P556" s="28">
        <v>52.58</v>
      </c>
      <c r="Q556" s="29">
        <v>45270</v>
      </c>
      <c r="R556" s="29">
        <v>45276</v>
      </c>
      <c r="S556" s="26" t="s">
        <v>76</v>
      </c>
      <c r="T556" s="26" t="s">
        <v>56</v>
      </c>
      <c r="U556" s="26" t="s">
        <v>77</v>
      </c>
      <c r="V556" s="26" t="s">
        <v>96</v>
      </c>
    </row>
    <row r="557" spans="1:22" ht="18" customHeight="1" x14ac:dyDescent="0.3">
      <c r="A557" s="3" t="s">
        <v>1646</v>
      </c>
      <c r="B557" s="3" t="s">
        <v>334</v>
      </c>
      <c r="C557" s="4" t="s">
        <v>1647</v>
      </c>
      <c r="D557" s="4" t="s">
        <v>8</v>
      </c>
      <c r="E557" s="4" t="s">
        <v>100</v>
      </c>
      <c r="F557" s="4" t="s">
        <v>52</v>
      </c>
      <c r="G557" s="4" t="s">
        <v>53</v>
      </c>
      <c r="H557" s="4" t="s">
        <v>464</v>
      </c>
      <c r="I557" s="3">
        <v>8</v>
      </c>
      <c r="J557" s="5">
        <v>36777.71</v>
      </c>
      <c r="K557" s="5">
        <v>0</v>
      </c>
      <c r="L557" s="5">
        <v>36777.71</v>
      </c>
      <c r="M557" s="5">
        <v>294221.68</v>
      </c>
      <c r="N557" s="5">
        <v>196739.24</v>
      </c>
      <c r="O557" s="5">
        <v>97482.44</v>
      </c>
      <c r="P557" s="24">
        <v>33.130000000000003</v>
      </c>
      <c r="Q557" s="6">
        <v>45627</v>
      </c>
      <c r="R557" s="6">
        <v>45633</v>
      </c>
      <c r="S557" s="4" t="s">
        <v>86</v>
      </c>
      <c r="T557" s="4" t="s">
        <v>56</v>
      </c>
      <c r="U557" s="4" t="s">
        <v>87</v>
      </c>
      <c r="V557" s="4" t="s">
        <v>103</v>
      </c>
    </row>
    <row r="558" spans="1:22" ht="18" customHeight="1" x14ac:dyDescent="0.3">
      <c r="A558" s="25" t="s">
        <v>1648</v>
      </c>
      <c r="B558" s="25" t="s">
        <v>1649</v>
      </c>
      <c r="C558" s="26" t="s">
        <v>1590</v>
      </c>
      <c r="D558" s="26" t="s">
        <v>23</v>
      </c>
      <c r="E558" s="26" t="s">
        <v>107</v>
      </c>
      <c r="F558" s="26" t="s">
        <v>63</v>
      </c>
      <c r="G558" s="26" t="s">
        <v>64</v>
      </c>
      <c r="H558" s="26" t="s">
        <v>133</v>
      </c>
      <c r="I558" s="25">
        <v>5</v>
      </c>
      <c r="J558" s="27">
        <v>22280.9</v>
      </c>
      <c r="K558" s="27">
        <v>15</v>
      </c>
      <c r="L558" s="27">
        <v>18938.759999999998</v>
      </c>
      <c r="M558" s="27">
        <v>94693.8</v>
      </c>
      <c r="N558" s="27">
        <v>60292.89</v>
      </c>
      <c r="O558" s="27">
        <v>34400.910000000003</v>
      </c>
      <c r="P558" s="28">
        <v>36.33</v>
      </c>
      <c r="Q558" s="29">
        <v>45480</v>
      </c>
      <c r="R558" s="29">
        <v>45482</v>
      </c>
      <c r="S558" s="26" t="s">
        <v>55</v>
      </c>
      <c r="T558" s="26" t="s">
        <v>56</v>
      </c>
      <c r="U558" s="26" t="s">
        <v>57</v>
      </c>
      <c r="V558" s="26" t="s">
        <v>109</v>
      </c>
    </row>
    <row r="559" spans="1:22" ht="18" customHeight="1" x14ac:dyDescent="0.3">
      <c r="A559" s="3" t="s">
        <v>1650</v>
      </c>
      <c r="B559" s="3" t="s">
        <v>1651</v>
      </c>
      <c r="C559" s="4" t="s">
        <v>1093</v>
      </c>
      <c r="D559" s="4" t="s">
        <v>24</v>
      </c>
      <c r="E559" s="4" t="s">
        <v>113</v>
      </c>
      <c r="F559" s="4" t="s">
        <v>73</v>
      </c>
      <c r="G559" s="4" t="s">
        <v>74</v>
      </c>
      <c r="H559" s="4" t="s">
        <v>471</v>
      </c>
      <c r="I559" s="3">
        <v>2</v>
      </c>
      <c r="J559" s="5">
        <v>39171.71</v>
      </c>
      <c r="K559" s="5">
        <v>30</v>
      </c>
      <c r="L559" s="5">
        <v>27420.2</v>
      </c>
      <c r="M559" s="5">
        <v>54840.4</v>
      </c>
      <c r="N559" s="5">
        <v>26932.14</v>
      </c>
      <c r="O559" s="5">
        <v>27908.26</v>
      </c>
      <c r="P559" s="24">
        <v>50.89</v>
      </c>
      <c r="Q559" s="6">
        <v>45457</v>
      </c>
      <c r="R559" s="6">
        <v>45465</v>
      </c>
      <c r="S559" s="4" t="s">
        <v>66</v>
      </c>
      <c r="T559" s="4" t="s">
        <v>56</v>
      </c>
      <c r="U559" s="4" t="s">
        <v>67</v>
      </c>
      <c r="V559" s="4" t="s">
        <v>115</v>
      </c>
    </row>
    <row r="560" spans="1:22" ht="18" customHeight="1" x14ac:dyDescent="0.3">
      <c r="A560" s="25" t="s">
        <v>1652</v>
      </c>
      <c r="B560" s="25" t="s">
        <v>131</v>
      </c>
      <c r="C560" s="26" t="s">
        <v>1653</v>
      </c>
      <c r="D560" s="26" t="s">
        <v>25</v>
      </c>
      <c r="E560" s="26" t="s">
        <v>107</v>
      </c>
      <c r="F560" s="26" t="s">
        <v>83</v>
      </c>
      <c r="G560" s="26" t="s">
        <v>84</v>
      </c>
      <c r="H560" s="26" t="s">
        <v>119</v>
      </c>
      <c r="I560" s="25">
        <v>2</v>
      </c>
      <c r="J560" s="27">
        <v>37923.49</v>
      </c>
      <c r="K560" s="27">
        <v>15</v>
      </c>
      <c r="L560" s="27">
        <v>32234.97</v>
      </c>
      <c r="M560" s="27">
        <v>64469.94</v>
      </c>
      <c r="N560" s="27">
        <v>45424.72</v>
      </c>
      <c r="O560" s="27">
        <v>19045.22</v>
      </c>
      <c r="P560" s="28">
        <v>29.54</v>
      </c>
      <c r="Q560" s="29">
        <v>44973</v>
      </c>
      <c r="R560" s="29">
        <v>44975</v>
      </c>
      <c r="S560" s="26" t="s">
        <v>76</v>
      </c>
      <c r="T560" s="26" t="s">
        <v>56</v>
      </c>
      <c r="U560" s="26" t="s">
        <v>77</v>
      </c>
      <c r="V560" s="26" t="s">
        <v>120</v>
      </c>
    </row>
    <row r="561" spans="1:22" ht="18" customHeight="1" x14ac:dyDescent="0.3">
      <c r="A561" s="3" t="s">
        <v>1654</v>
      </c>
      <c r="B561" s="3" t="s">
        <v>1655</v>
      </c>
      <c r="C561" s="4" t="s">
        <v>1656</v>
      </c>
      <c r="D561" s="4" t="s">
        <v>9</v>
      </c>
      <c r="E561" s="4" t="s">
        <v>62</v>
      </c>
      <c r="F561" s="4" t="s">
        <v>93</v>
      </c>
      <c r="G561" s="4" t="s">
        <v>94</v>
      </c>
      <c r="H561" s="4" t="s">
        <v>699</v>
      </c>
      <c r="I561" s="3">
        <v>2</v>
      </c>
      <c r="J561" s="5">
        <v>18144.52</v>
      </c>
      <c r="K561" s="5">
        <v>0</v>
      </c>
      <c r="L561" s="5">
        <v>18144.52</v>
      </c>
      <c r="M561" s="5">
        <v>36289.040000000001</v>
      </c>
      <c r="N561" s="5">
        <v>16740.54</v>
      </c>
      <c r="O561" s="5">
        <v>19548.5</v>
      </c>
      <c r="P561" s="24">
        <v>53.87</v>
      </c>
      <c r="Q561" s="6">
        <v>45543</v>
      </c>
      <c r="R561" s="6">
        <v>45544</v>
      </c>
      <c r="S561" s="4" t="s">
        <v>86</v>
      </c>
      <c r="T561" s="4" t="s">
        <v>56</v>
      </c>
      <c r="U561" s="4" t="s">
        <v>87</v>
      </c>
      <c r="V561" s="4" t="s">
        <v>125</v>
      </c>
    </row>
    <row r="562" spans="1:22" ht="18" customHeight="1" x14ac:dyDescent="0.3">
      <c r="A562" s="25" t="s">
        <v>1657</v>
      </c>
      <c r="B562" s="25" t="s">
        <v>779</v>
      </c>
      <c r="C562" s="26" t="s">
        <v>1658</v>
      </c>
      <c r="D562" s="26" t="s">
        <v>3</v>
      </c>
      <c r="E562" s="26" t="s">
        <v>3</v>
      </c>
      <c r="F562" s="26" t="s">
        <v>52</v>
      </c>
      <c r="G562" s="26" t="s">
        <v>53</v>
      </c>
      <c r="H562" s="26" t="s">
        <v>129</v>
      </c>
      <c r="I562" s="25">
        <v>3</v>
      </c>
      <c r="J562" s="27">
        <v>44818.44</v>
      </c>
      <c r="K562" s="27">
        <v>5</v>
      </c>
      <c r="L562" s="27">
        <v>42577.52</v>
      </c>
      <c r="M562" s="27">
        <v>127732.56</v>
      </c>
      <c r="N562" s="27">
        <v>78629.14</v>
      </c>
      <c r="O562" s="27">
        <v>49103.42</v>
      </c>
      <c r="P562" s="28">
        <v>38.44</v>
      </c>
      <c r="Q562" s="29">
        <v>45129</v>
      </c>
      <c r="R562" s="29">
        <v>45137</v>
      </c>
      <c r="S562" s="26" t="s">
        <v>55</v>
      </c>
      <c r="T562" s="26" t="s">
        <v>56</v>
      </c>
      <c r="U562" s="26" t="s">
        <v>57</v>
      </c>
      <c r="V562" s="26" t="s">
        <v>58</v>
      </c>
    </row>
    <row r="563" spans="1:22" ht="18" customHeight="1" x14ac:dyDescent="0.3">
      <c r="A563" s="3" t="s">
        <v>1659</v>
      </c>
      <c r="B563" s="3" t="s">
        <v>412</v>
      </c>
      <c r="C563" s="4" t="s">
        <v>1660</v>
      </c>
      <c r="D563" s="4" t="s">
        <v>4</v>
      </c>
      <c r="E563" s="4" t="s">
        <v>62</v>
      </c>
      <c r="F563" s="4" t="s">
        <v>63</v>
      </c>
      <c r="G563" s="4" t="s">
        <v>64</v>
      </c>
      <c r="H563" s="4" t="s">
        <v>152</v>
      </c>
      <c r="I563" s="3">
        <v>1</v>
      </c>
      <c r="J563" s="5">
        <v>7286.72</v>
      </c>
      <c r="K563" s="5">
        <v>5</v>
      </c>
      <c r="L563" s="5">
        <v>6922.38</v>
      </c>
      <c r="M563" s="5">
        <v>6922.38</v>
      </c>
      <c r="N563" s="5">
        <v>4253.87</v>
      </c>
      <c r="O563" s="5">
        <v>2668.51</v>
      </c>
      <c r="P563" s="24">
        <v>38.549999999999997</v>
      </c>
      <c r="Q563" s="6">
        <v>45601</v>
      </c>
      <c r="R563" s="6">
        <v>45603</v>
      </c>
      <c r="S563" s="4" t="s">
        <v>66</v>
      </c>
      <c r="T563" s="4" t="s">
        <v>56</v>
      </c>
      <c r="U563" s="4" t="s">
        <v>67</v>
      </c>
      <c r="V563" s="4" t="s">
        <v>68</v>
      </c>
    </row>
    <row r="564" spans="1:22" ht="18" customHeight="1" x14ac:dyDescent="0.3">
      <c r="A564" s="25" t="s">
        <v>1661</v>
      </c>
      <c r="B564" s="25" t="s">
        <v>1662</v>
      </c>
      <c r="C564" s="26" t="s">
        <v>1663</v>
      </c>
      <c r="D564" s="26" t="s">
        <v>5</v>
      </c>
      <c r="E564" s="26" t="s">
        <v>72</v>
      </c>
      <c r="F564" s="26" t="s">
        <v>73</v>
      </c>
      <c r="G564" s="26" t="s">
        <v>74</v>
      </c>
      <c r="H564" s="26" t="s">
        <v>455</v>
      </c>
      <c r="I564" s="25">
        <v>7</v>
      </c>
      <c r="J564" s="27">
        <v>27024.35</v>
      </c>
      <c r="K564" s="27">
        <v>20</v>
      </c>
      <c r="L564" s="27">
        <v>21619.48</v>
      </c>
      <c r="M564" s="27">
        <v>151336.35999999999</v>
      </c>
      <c r="N564" s="27">
        <v>69851.33</v>
      </c>
      <c r="O564" s="27">
        <v>81485.03</v>
      </c>
      <c r="P564" s="28">
        <v>53.84</v>
      </c>
      <c r="Q564" s="29">
        <v>45209</v>
      </c>
      <c r="R564" s="29">
        <v>45213</v>
      </c>
      <c r="S564" s="26" t="s">
        <v>76</v>
      </c>
      <c r="T564" s="26" t="s">
        <v>56</v>
      </c>
      <c r="U564" s="26" t="s">
        <v>77</v>
      </c>
      <c r="V564" s="26" t="s">
        <v>78</v>
      </c>
    </row>
    <row r="565" spans="1:22" ht="18" customHeight="1" x14ac:dyDescent="0.3">
      <c r="A565" s="3" t="s">
        <v>1664</v>
      </c>
      <c r="B565" s="3" t="s">
        <v>1665</v>
      </c>
      <c r="C565" s="4" t="s">
        <v>846</v>
      </c>
      <c r="D565" s="4" t="s">
        <v>6</v>
      </c>
      <c r="E565" s="4" t="s">
        <v>82</v>
      </c>
      <c r="F565" s="4" t="s">
        <v>83</v>
      </c>
      <c r="G565" s="4" t="s">
        <v>84</v>
      </c>
      <c r="H565" s="4" t="s">
        <v>439</v>
      </c>
      <c r="I565" s="3">
        <v>5</v>
      </c>
      <c r="J565" s="5">
        <v>6197.9</v>
      </c>
      <c r="K565" s="5">
        <v>10</v>
      </c>
      <c r="L565" s="5">
        <v>5578.11</v>
      </c>
      <c r="M565" s="5">
        <v>27890.55</v>
      </c>
      <c r="N565" s="5">
        <v>15201.2</v>
      </c>
      <c r="O565" s="5">
        <v>12689.35</v>
      </c>
      <c r="P565" s="24">
        <v>45.5</v>
      </c>
      <c r="Q565" s="6">
        <v>45327</v>
      </c>
      <c r="R565" s="6">
        <v>45335</v>
      </c>
      <c r="S565" s="4" t="s">
        <v>86</v>
      </c>
      <c r="T565" s="4" t="s">
        <v>56</v>
      </c>
      <c r="U565" s="4" t="s">
        <v>87</v>
      </c>
      <c r="V565" s="4" t="s">
        <v>88</v>
      </c>
    </row>
    <row r="566" spans="1:22" ht="18" customHeight="1" x14ac:dyDescent="0.3">
      <c r="A566" s="25" t="s">
        <v>1666</v>
      </c>
      <c r="B566" s="25" t="s">
        <v>1667</v>
      </c>
      <c r="C566" s="26" t="s">
        <v>928</v>
      </c>
      <c r="D566" s="26" t="s">
        <v>7</v>
      </c>
      <c r="E566" s="26" t="s">
        <v>92</v>
      </c>
      <c r="F566" s="26" t="s">
        <v>93</v>
      </c>
      <c r="G566" s="26" t="s">
        <v>94</v>
      </c>
      <c r="H566" s="26" t="s">
        <v>145</v>
      </c>
      <c r="I566" s="25">
        <v>7</v>
      </c>
      <c r="J566" s="27">
        <v>41978.7</v>
      </c>
      <c r="K566" s="27">
        <v>15</v>
      </c>
      <c r="L566" s="27">
        <v>35681.89</v>
      </c>
      <c r="M566" s="27">
        <v>249773.23</v>
      </c>
      <c r="N566" s="27">
        <v>159725.23000000001</v>
      </c>
      <c r="O566" s="27">
        <v>90048</v>
      </c>
      <c r="P566" s="28">
        <v>36.049999999999997</v>
      </c>
      <c r="Q566" s="29">
        <v>45384</v>
      </c>
      <c r="R566" s="29">
        <v>45392</v>
      </c>
      <c r="S566" s="26" t="s">
        <v>55</v>
      </c>
      <c r="T566" s="26" t="s">
        <v>56</v>
      </c>
      <c r="U566" s="26" t="s">
        <v>57</v>
      </c>
      <c r="V566" s="26" t="s">
        <v>96</v>
      </c>
    </row>
    <row r="567" spans="1:22" ht="18" customHeight="1" x14ac:dyDescent="0.3">
      <c r="A567" s="3" t="s">
        <v>1668</v>
      </c>
      <c r="B567" s="3" t="s">
        <v>1669</v>
      </c>
      <c r="C567" s="4" t="s">
        <v>1670</v>
      </c>
      <c r="D567" s="4" t="s">
        <v>8</v>
      </c>
      <c r="E567" s="4" t="s">
        <v>100</v>
      </c>
      <c r="F567" s="4" t="s">
        <v>52</v>
      </c>
      <c r="G567" s="4" t="s">
        <v>53</v>
      </c>
      <c r="H567" s="4" t="s">
        <v>657</v>
      </c>
      <c r="I567" s="3">
        <v>6</v>
      </c>
      <c r="J567" s="5">
        <v>40237.9</v>
      </c>
      <c r="K567" s="5">
        <v>20</v>
      </c>
      <c r="L567" s="5">
        <v>32190.32</v>
      </c>
      <c r="M567" s="5">
        <v>193141.92</v>
      </c>
      <c r="N567" s="5">
        <v>127609.35</v>
      </c>
      <c r="O567" s="5">
        <v>65532.57</v>
      </c>
      <c r="P567" s="24">
        <v>33.93</v>
      </c>
      <c r="Q567" s="6">
        <v>45521</v>
      </c>
      <c r="R567" s="6">
        <v>45531</v>
      </c>
      <c r="S567" s="4" t="s">
        <v>66</v>
      </c>
      <c r="T567" s="4" t="s">
        <v>56</v>
      </c>
      <c r="U567" s="4" t="s">
        <v>67</v>
      </c>
      <c r="V567" s="4" t="s">
        <v>103</v>
      </c>
    </row>
    <row r="568" spans="1:22" ht="18" customHeight="1" x14ac:dyDescent="0.3">
      <c r="A568" s="25" t="s">
        <v>1671</v>
      </c>
      <c r="B568" s="25" t="s">
        <v>1672</v>
      </c>
      <c r="C568" s="26" t="s">
        <v>1532</v>
      </c>
      <c r="D568" s="26" t="s">
        <v>23</v>
      </c>
      <c r="E568" s="26" t="s">
        <v>107</v>
      </c>
      <c r="F568" s="26" t="s">
        <v>63</v>
      </c>
      <c r="G568" s="26" t="s">
        <v>64</v>
      </c>
      <c r="H568" s="26" t="s">
        <v>65</v>
      </c>
      <c r="I568" s="25">
        <v>4</v>
      </c>
      <c r="J568" s="27">
        <v>12295.75</v>
      </c>
      <c r="K568" s="27">
        <v>5</v>
      </c>
      <c r="L568" s="27">
        <v>11680.96</v>
      </c>
      <c r="M568" s="27">
        <v>46723.839999999997</v>
      </c>
      <c r="N568" s="27">
        <v>27830.65</v>
      </c>
      <c r="O568" s="27">
        <v>18893.189999999999</v>
      </c>
      <c r="P568" s="28">
        <v>40.44</v>
      </c>
      <c r="Q568" s="29">
        <v>44942</v>
      </c>
      <c r="R568" s="29">
        <v>44951</v>
      </c>
      <c r="S568" s="26" t="s">
        <v>76</v>
      </c>
      <c r="T568" s="26" t="s">
        <v>56</v>
      </c>
      <c r="U568" s="26" t="s">
        <v>77</v>
      </c>
      <c r="V568" s="26" t="s">
        <v>109</v>
      </c>
    </row>
    <row r="569" spans="1:22" ht="18" customHeight="1" x14ac:dyDescent="0.3">
      <c r="A569" s="3" t="s">
        <v>1673</v>
      </c>
      <c r="B569" s="3" t="s">
        <v>1467</v>
      </c>
      <c r="C569" s="4" t="s">
        <v>1674</v>
      </c>
      <c r="D569" s="4" t="s">
        <v>24</v>
      </c>
      <c r="E569" s="4" t="s">
        <v>113</v>
      </c>
      <c r="F569" s="4" t="s">
        <v>73</v>
      </c>
      <c r="G569" s="4" t="s">
        <v>74</v>
      </c>
      <c r="H569" s="4" t="s">
        <v>319</v>
      </c>
      <c r="I569" s="3">
        <v>3</v>
      </c>
      <c r="J569" s="5">
        <v>47139.24</v>
      </c>
      <c r="K569" s="5">
        <v>30</v>
      </c>
      <c r="L569" s="5">
        <v>32997.47</v>
      </c>
      <c r="M569" s="5">
        <v>98992.41</v>
      </c>
      <c r="N569" s="5">
        <v>47585.31</v>
      </c>
      <c r="O569" s="5">
        <v>51407.1</v>
      </c>
      <c r="P569" s="24">
        <v>51.93</v>
      </c>
      <c r="Q569" s="6">
        <v>45172</v>
      </c>
      <c r="R569" s="6">
        <v>45174</v>
      </c>
      <c r="S569" s="4" t="s">
        <v>86</v>
      </c>
      <c r="T569" s="4" t="s">
        <v>102</v>
      </c>
      <c r="U569" s="4" t="s">
        <v>87</v>
      </c>
      <c r="V569" s="4" t="s">
        <v>115</v>
      </c>
    </row>
    <row r="570" spans="1:22" ht="18" customHeight="1" x14ac:dyDescent="0.3">
      <c r="A570" s="25" t="s">
        <v>1675</v>
      </c>
      <c r="B570" s="25" t="s">
        <v>1676</v>
      </c>
      <c r="C570" s="26" t="s">
        <v>1440</v>
      </c>
      <c r="D570" s="26" t="s">
        <v>25</v>
      </c>
      <c r="E570" s="26" t="s">
        <v>107</v>
      </c>
      <c r="F570" s="26" t="s">
        <v>83</v>
      </c>
      <c r="G570" s="26" t="s">
        <v>84</v>
      </c>
      <c r="H570" s="26" t="s">
        <v>522</v>
      </c>
      <c r="I570" s="25">
        <v>4</v>
      </c>
      <c r="J570" s="27">
        <v>35235.64</v>
      </c>
      <c r="K570" s="27">
        <v>15</v>
      </c>
      <c r="L570" s="27">
        <v>29950.29</v>
      </c>
      <c r="M570" s="27">
        <v>119801.16</v>
      </c>
      <c r="N570" s="27">
        <v>65103.58</v>
      </c>
      <c r="O570" s="27">
        <v>54697.58</v>
      </c>
      <c r="P570" s="28">
        <v>45.66</v>
      </c>
      <c r="Q570" s="29">
        <v>45007</v>
      </c>
      <c r="R570" s="29">
        <v>45009</v>
      </c>
      <c r="S570" s="26" t="s">
        <v>55</v>
      </c>
      <c r="T570" s="26" t="s">
        <v>235</v>
      </c>
      <c r="U570" s="26" t="s">
        <v>57</v>
      </c>
      <c r="V570" s="26" t="s">
        <v>120</v>
      </c>
    </row>
    <row r="571" spans="1:22" ht="18" customHeight="1" x14ac:dyDescent="0.3">
      <c r="A571" s="3" t="s">
        <v>1677</v>
      </c>
      <c r="B571" s="3" t="s">
        <v>1678</v>
      </c>
      <c r="C571" s="4" t="s">
        <v>1679</v>
      </c>
      <c r="D571" s="4" t="s">
        <v>9</v>
      </c>
      <c r="E571" s="4" t="s">
        <v>62</v>
      </c>
      <c r="F571" s="4" t="s">
        <v>93</v>
      </c>
      <c r="G571" s="4" t="s">
        <v>94</v>
      </c>
      <c r="H571" s="4" t="s">
        <v>219</v>
      </c>
      <c r="I571" s="3">
        <v>3</v>
      </c>
      <c r="J571" s="5">
        <v>31426.34</v>
      </c>
      <c r="K571" s="5">
        <v>10</v>
      </c>
      <c r="L571" s="5">
        <v>28283.71</v>
      </c>
      <c r="M571" s="5">
        <v>84851.13</v>
      </c>
      <c r="N571" s="5">
        <v>42168.68</v>
      </c>
      <c r="O571" s="5">
        <v>42682.45</v>
      </c>
      <c r="P571" s="24">
        <v>50.3</v>
      </c>
      <c r="Q571" s="6">
        <v>45275</v>
      </c>
      <c r="R571" s="6">
        <v>45281</v>
      </c>
      <c r="S571" s="4" t="s">
        <v>66</v>
      </c>
      <c r="T571" s="4" t="s">
        <v>56</v>
      </c>
      <c r="U571" s="4" t="s">
        <v>67</v>
      </c>
      <c r="V571" s="4" t="s">
        <v>125</v>
      </c>
    </row>
    <row r="572" spans="1:22" ht="18" customHeight="1" x14ac:dyDescent="0.3">
      <c r="A572" s="25" t="s">
        <v>1680</v>
      </c>
      <c r="B572" s="25" t="s">
        <v>1681</v>
      </c>
      <c r="C572" s="26" t="s">
        <v>1682</v>
      </c>
      <c r="D572" s="26" t="s">
        <v>3</v>
      </c>
      <c r="E572" s="26" t="s">
        <v>3</v>
      </c>
      <c r="F572" s="26" t="s">
        <v>52</v>
      </c>
      <c r="G572" s="26" t="s">
        <v>53</v>
      </c>
      <c r="H572" s="26" t="s">
        <v>277</v>
      </c>
      <c r="I572" s="25">
        <v>2</v>
      </c>
      <c r="J572" s="27">
        <v>25610.25</v>
      </c>
      <c r="K572" s="27">
        <v>10</v>
      </c>
      <c r="L572" s="27">
        <v>23049.23</v>
      </c>
      <c r="M572" s="27">
        <v>46098.46</v>
      </c>
      <c r="N572" s="27">
        <v>25457.63</v>
      </c>
      <c r="O572" s="27">
        <v>20640.830000000002</v>
      </c>
      <c r="P572" s="28">
        <v>44.78</v>
      </c>
      <c r="Q572" s="29">
        <v>45522</v>
      </c>
      <c r="R572" s="29">
        <v>45529</v>
      </c>
      <c r="S572" s="26" t="s">
        <v>76</v>
      </c>
      <c r="T572" s="26" t="s">
        <v>56</v>
      </c>
      <c r="U572" s="26" t="s">
        <v>77</v>
      </c>
      <c r="V572" s="26" t="s">
        <v>58</v>
      </c>
    </row>
    <row r="573" spans="1:22" ht="18" customHeight="1" x14ac:dyDescent="0.3">
      <c r="A573" s="3" t="s">
        <v>1683</v>
      </c>
      <c r="B573" s="3" t="s">
        <v>1684</v>
      </c>
      <c r="C573" s="4" t="s">
        <v>1520</v>
      </c>
      <c r="D573" s="4" t="s">
        <v>4</v>
      </c>
      <c r="E573" s="4" t="s">
        <v>62</v>
      </c>
      <c r="F573" s="4" t="s">
        <v>63</v>
      </c>
      <c r="G573" s="4" t="s">
        <v>64</v>
      </c>
      <c r="H573" s="4" t="s">
        <v>65</v>
      </c>
      <c r="I573" s="3">
        <v>9</v>
      </c>
      <c r="J573" s="5">
        <v>31715.4</v>
      </c>
      <c r="K573" s="5">
        <v>25</v>
      </c>
      <c r="L573" s="5">
        <v>23786.55</v>
      </c>
      <c r="M573" s="5">
        <v>214078.95</v>
      </c>
      <c r="N573" s="5">
        <v>122577.15</v>
      </c>
      <c r="O573" s="5">
        <v>91501.8</v>
      </c>
      <c r="P573" s="24">
        <v>42.74</v>
      </c>
      <c r="Q573" s="6">
        <v>45189</v>
      </c>
      <c r="R573" s="6">
        <v>45195</v>
      </c>
      <c r="S573" s="4" t="s">
        <v>86</v>
      </c>
      <c r="T573" s="4" t="s">
        <v>56</v>
      </c>
      <c r="U573" s="4" t="s">
        <v>87</v>
      </c>
      <c r="V573" s="4" t="s">
        <v>68</v>
      </c>
    </row>
    <row r="574" spans="1:22" ht="18" customHeight="1" x14ac:dyDescent="0.3">
      <c r="A574" s="25" t="s">
        <v>1685</v>
      </c>
      <c r="B574" s="25" t="s">
        <v>1686</v>
      </c>
      <c r="C574" s="26" t="s">
        <v>683</v>
      </c>
      <c r="D574" s="26" t="s">
        <v>5</v>
      </c>
      <c r="E574" s="26" t="s">
        <v>72</v>
      </c>
      <c r="F574" s="26" t="s">
        <v>73</v>
      </c>
      <c r="G574" s="26" t="s">
        <v>74</v>
      </c>
      <c r="H574" s="26" t="s">
        <v>577</v>
      </c>
      <c r="I574" s="25">
        <v>10</v>
      </c>
      <c r="J574" s="27">
        <v>47685.56</v>
      </c>
      <c r="K574" s="27">
        <v>5</v>
      </c>
      <c r="L574" s="27">
        <v>45301.279999999999</v>
      </c>
      <c r="M574" s="27">
        <v>453012.8</v>
      </c>
      <c r="N574" s="27">
        <v>291696.42</v>
      </c>
      <c r="O574" s="27">
        <v>161316.38</v>
      </c>
      <c r="P574" s="28">
        <v>35.61</v>
      </c>
      <c r="Q574" s="29">
        <v>45439</v>
      </c>
      <c r="R574" s="29">
        <v>45443</v>
      </c>
      <c r="S574" s="26" t="s">
        <v>55</v>
      </c>
      <c r="T574" s="26" t="s">
        <v>56</v>
      </c>
      <c r="U574" s="26" t="s">
        <v>57</v>
      </c>
      <c r="V574" s="26" t="s">
        <v>78</v>
      </c>
    </row>
    <row r="575" spans="1:22" ht="18" customHeight="1" x14ac:dyDescent="0.3">
      <c r="A575" s="3" t="s">
        <v>1687</v>
      </c>
      <c r="B575" s="3" t="s">
        <v>1688</v>
      </c>
      <c r="C575" s="4" t="s">
        <v>1689</v>
      </c>
      <c r="D575" s="4" t="s">
        <v>6</v>
      </c>
      <c r="E575" s="4" t="s">
        <v>82</v>
      </c>
      <c r="F575" s="4" t="s">
        <v>83</v>
      </c>
      <c r="G575" s="4" t="s">
        <v>84</v>
      </c>
      <c r="H575" s="4" t="s">
        <v>179</v>
      </c>
      <c r="I575" s="3">
        <v>7</v>
      </c>
      <c r="J575" s="5">
        <v>8737.73</v>
      </c>
      <c r="K575" s="5">
        <v>20</v>
      </c>
      <c r="L575" s="5">
        <v>6990.18</v>
      </c>
      <c r="M575" s="5">
        <v>48931.26</v>
      </c>
      <c r="N575" s="5">
        <v>25111.360000000001</v>
      </c>
      <c r="O575" s="5">
        <v>23819.9</v>
      </c>
      <c r="P575" s="24">
        <v>48.68</v>
      </c>
      <c r="Q575" s="6">
        <v>45001</v>
      </c>
      <c r="R575" s="6">
        <v>45006</v>
      </c>
      <c r="S575" s="4" t="s">
        <v>66</v>
      </c>
      <c r="T575" s="4" t="s">
        <v>56</v>
      </c>
      <c r="U575" s="4" t="s">
        <v>67</v>
      </c>
      <c r="V575" s="4" t="s">
        <v>88</v>
      </c>
    </row>
    <row r="576" spans="1:22" ht="18" customHeight="1" x14ac:dyDescent="0.3">
      <c r="A576" s="25" t="s">
        <v>1690</v>
      </c>
      <c r="B576" s="25" t="s">
        <v>1691</v>
      </c>
      <c r="C576" s="26" t="s">
        <v>1692</v>
      </c>
      <c r="D576" s="26" t="s">
        <v>7</v>
      </c>
      <c r="E576" s="26" t="s">
        <v>92</v>
      </c>
      <c r="F576" s="26" t="s">
        <v>93</v>
      </c>
      <c r="G576" s="26" t="s">
        <v>94</v>
      </c>
      <c r="H576" s="26" t="s">
        <v>625</v>
      </c>
      <c r="I576" s="25">
        <v>1</v>
      </c>
      <c r="J576" s="27">
        <v>9652.31</v>
      </c>
      <c r="K576" s="27">
        <v>5</v>
      </c>
      <c r="L576" s="27">
        <v>9169.69</v>
      </c>
      <c r="M576" s="27">
        <v>9169.69</v>
      </c>
      <c r="N576" s="27">
        <v>4730.08</v>
      </c>
      <c r="O576" s="27">
        <v>4439.6099999999997</v>
      </c>
      <c r="P576" s="28">
        <v>48.42</v>
      </c>
      <c r="Q576" s="29">
        <v>45266</v>
      </c>
      <c r="R576" s="29">
        <v>45274</v>
      </c>
      <c r="S576" s="26" t="s">
        <v>76</v>
      </c>
      <c r="T576" s="26" t="s">
        <v>56</v>
      </c>
      <c r="U576" s="26" t="s">
        <v>77</v>
      </c>
      <c r="V576" s="26" t="s">
        <v>96</v>
      </c>
    </row>
    <row r="577" spans="1:22" ht="18" customHeight="1" x14ac:dyDescent="0.3">
      <c r="A577" s="3" t="s">
        <v>1693</v>
      </c>
      <c r="B577" s="3" t="s">
        <v>1694</v>
      </c>
      <c r="C577" s="4" t="s">
        <v>318</v>
      </c>
      <c r="D577" s="4" t="s">
        <v>8</v>
      </c>
      <c r="E577" s="4" t="s">
        <v>100</v>
      </c>
      <c r="F577" s="4" t="s">
        <v>52</v>
      </c>
      <c r="G577" s="4" t="s">
        <v>53</v>
      </c>
      <c r="H577" s="4" t="s">
        <v>243</v>
      </c>
      <c r="I577" s="3">
        <v>4</v>
      </c>
      <c r="J577" s="5">
        <v>4471.63</v>
      </c>
      <c r="K577" s="5">
        <v>25</v>
      </c>
      <c r="L577" s="5">
        <v>3353.72</v>
      </c>
      <c r="M577" s="5">
        <v>13414.88</v>
      </c>
      <c r="N577" s="5">
        <v>7227.03</v>
      </c>
      <c r="O577" s="5">
        <v>6187.85</v>
      </c>
      <c r="P577" s="24">
        <v>46.13</v>
      </c>
      <c r="Q577" s="6">
        <v>45270</v>
      </c>
      <c r="R577" s="6">
        <v>45271</v>
      </c>
      <c r="S577" s="4" t="s">
        <v>86</v>
      </c>
      <c r="T577" s="4" t="s">
        <v>56</v>
      </c>
      <c r="U577" s="4" t="s">
        <v>87</v>
      </c>
      <c r="V577" s="4" t="s">
        <v>103</v>
      </c>
    </row>
    <row r="578" spans="1:22" ht="18" customHeight="1" x14ac:dyDescent="0.3">
      <c r="A578" s="25" t="s">
        <v>1695</v>
      </c>
      <c r="B578" s="25" t="s">
        <v>1292</v>
      </c>
      <c r="C578" s="26" t="s">
        <v>1696</v>
      </c>
      <c r="D578" s="26" t="s">
        <v>23</v>
      </c>
      <c r="E578" s="26" t="s">
        <v>107</v>
      </c>
      <c r="F578" s="26" t="s">
        <v>63</v>
      </c>
      <c r="G578" s="26" t="s">
        <v>64</v>
      </c>
      <c r="H578" s="26" t="s">
        <v>823</v>
      </c>
      <c r="I578" s="25">
        <v>10</v>
      </c>
      <c r="J578" s="27">
        <v>29651.39</v>
      </c>
      <c r="K578" s="27">
        <v>10</v>
      </c>
      <c r="L578" s="27">
        <v>26686.25</v>
      </c>
      <c r="M578" s="27">
        <v>266862.5</v>
      </c>
      <c r="N578" s="27">
        <v>154799.85</v>
      </c>
      <c r="O578" s="27">
        <v>112062.65</v>
      </c>
      <c r="P578" s="28">
        <v>41.99</v>
      </c>
      <c r="Q578" s="29">
        <v>45218</v>
      </c>
      <c r="R578" s="29">
        <v>45221</v>
      </c>
      <c r="S578" s="26" t="s">
        <v>55</v>
      </c>
      <c r="T578" s="26" t="s">
        <v>56</v>
      </c>
      <c r="U578" s="26" t="s">
        <v>57</v>
      </c>
      <c r="V578" s="26" t="s">
        <v>109</v>
      </c>
    </row>
    <row r="579" spans="1:22" ht="18" customHeight="1" x14ac:dyDescent="0.3">
      <c r="A579" s="3" t="s">
        <v>1697</v>
      </c>
      <c r="B579" s="3" t="s">
        <v>1698</v>
      </c>
      <c r="C579" s="4" t="s">
        <v>328</v>
      </c>
      <c r="D579" s="4" t="s">
        <v>24</v>
      </c>
      <c r="E579" s="4" t="s">
        <v>113</v>
      </c>
      <c r="F579" s="4" t="s">
        <v>73</v>
      </c>
      <c r="G579" s="4" t="s">
        <v>74</v>
      </c>
      <c r="H579" s="4" t="s">
        <v>455</v>
      </c>
      <c r="I579" s="3">
        <v>9</v>
      </c>
      <c r="J579" s="5">
        <v>7298.08</v>
      </c>
      <c r="K579" s="5">
        <v>10</v>
      </c>
      <c r="L579" s="5">
        <v>6568.27</v>
      </c>
      <c r="M579" s="5">
        <v>59114.43</v>
      </c>
      <c r="N579" s="5">
        <v>39922.53</v>
      </c>
      <c r="O579" s="5">
        <v>19191.900000000001</v>
      </c>
      <c r="P579" s="24">
        <v>32.47</v>
      </c>
      <c r="Q579" s="6">
        <v>44949</v>
      </c>
      <c r="R579" s="6">
        <v>44957</v>
      </c>
      <c r="S579" s="4" t="s">
        <v>66</v>
      </c>
      <c r="T579" s="4" t="s">
        <v>56</v>
      </c>
      <c r="U579" s="4" t="s">
        <v>67</v>
      </c>
      <c r="V579" s="4" t="s">
        <v>115</v>
      </c>
    </row>
    <row r="580" spans="1:22" ht="18" customHeight="1" x14ac:dyDescent="0.3">
      <c r="A580" s="25" t="s">
        <v>1699</v>
      </c>
      <c r="B580" s="25" t="s">
        <v>991</v>
      </c>
      <c r="C580" s="26" t="s">
        <v>1700</v>
      </c>
      <c r="D580" s="26" t="s">
        <v>25</v>
      </c>
      <c r="E580" s="26" t="s">
        <v>107</v>
      </c>
      <c r="F580" s="26" t="s">
        <v>83</v>
      </c>
      <c r="G580" s="26" t="s">
        <v>84</v>
      </c>
      <c r="H580" s="26" t="s">
        <v>234</v>
      </c>
      <c r="I580" s="25">
        <v>9</v>
      </c>
      <c r="J580" s="27">
        <v>34270.160000000003</v>
      </c>
      <c r="K580" s="27">
        <v>15</v>
      </c>
      <c r="L580" s="27">
        <v>29129.64</v>
      </c>
      <c r="M580" s="27">
        <v>262166.76</v>
      </c>
      <c r="N580" s="27">
        <v>120020.9</v>
      </c>
      <c r="O580" s="27">
        <v>142145.85999999999</v>
      </c>
      <c r="P580" s="28">
        <v>54.22</v>
      </c>
      <c r="Q580" s="29">
        <v>45586</v>
      </c>
      <c r="R580" s="29">
        <v>45588</v>
      </c>
      <c r="S580" s="26" t="s">
        <v>76</v>
      </c>
      <c r="T580" s="26" t="s">
        <v>56</v>
      </c>
      <c r="U580" s="26" t="s">
        <v>77</v>
      </c>
      <c r="V580" s="26" t="s">
        <v>120</v>
      </c>
    </row>
    <row r="581" spans="1:22" ht="18" customHeight="1" x14ac:dyDescent="0.3">
      <c r="A581" s="3" t="s">
        <v>1701</v>
      </c>
      <c r="B581" s="3" t="s">
        <v>1702</v>
      </c>
      <c r="C581" s="4" t="s">
        <v>1703</v>
      </c>
      <c r="D581" s="4" t="s">
        <v>9</v>
      </c>
      <c r="E581" s="4" t="s">
        <v>62</v>
      </c>
      <c r="F581" s="4" t="s">
        <v>93</v>
      </c>
      <c r="G581" s="4" t="s">
        <v>94</v>
      </c>
      <c r="H581" s="4" t="s">
        <v>308</v>
      </c>
      <c r="I581" s="3">
        <v>9</v>
      </c>
      <c r="J581" s="5">
        <v>34647.269999999997</v>
      </c>
      <c r="K581" s="5">
        <v>10</v>
      </c>
      <c r="L581" s="5">
        <v>31182.54</v>
      </c>
      <c r="M581" s="5">
        <v>280642.86</v>
      </c>
      <c r="N581" s="5">
        <v>184491.24</v>
      </c>
      <c r="O581" s="5">
        <v>96151.62</v>
      </c>
      <c r="P581" s="24">
        <v>34.26</v>
      </c>
      <c r="Q581" s="6">
        <v>45536</v>
      </c>
      <c r="R581" s="6">
        <v>45538</v>
      </c>
      <c r="S581" s="4" t="s">
        <v>86</v>
      </c>
      <c r="T581" s="4" t="s">
        <v>56</v>
      </c>
      <c r="U581" s="4" t="s">
        <v>87</v>
      </c>
      <c r="V581" s="4" t="s">
        <v>125</v>
      </c>
    </row>
    <row r="582" spans="1:22" ht="18" customHeight="1" x14ac:dyDescent="0.3">
      <c r="A582" s="25" t="s">
        <v>1704</v>
      </c>
      <c r="B582" s="25" t="s">
        <v>1705</v>
      </c>
      <c r="C582" s="26" t="s">
        <v>1706</v>
      </c>
      <c r="D582" s="26" t="s">
        <v>3</v>
      </c>
      <c r="E582" s="26" t="s">
        <v>3</v>
      </c>
      <c r="F582" s="26" t="s">
        <v>52</v>
      </c>
      <c r="G582" s="26" t="s">
        <v>53</v>
      </c>
      <c r="H582" s="26" t="s">
        <v>805</v>
      </c>
      <c r="I582" s="25">
        <v>9</v>
      </c>
      <c r="J582" s="27">
        <v>11554.31</v>
      </c>
      <c r="K582" s="27">
        <v>15</v>
      </c>
      <c r="L582" s="27">
        <v>9821.16</v>
      </c>
      <c r="M582" s="27">
        <v>88390.44</v>
      </c>
      <c r="N582" s="27">
        <v>46933.78</v>
      </c>
      <c r="O582" s="27">
        <v>41456.660000000003</v>
      </c>
      <c r="P582" s="28">
        <v>46.9</v>
      </c>
      <c r="Q582" s="29">
        <v>45183</v>
      </c>
      <c r="R582" s="29">
        <v>45190</v>
      </c>
      <c r="S582" s="26" t="s">
        <v>55</v>
      </c>
      <c r="T582" s="26" t="s">
        <v>102</v>
      </c>
      <c r="U582" s="26" t="s">
        <v>57</v>
      </c>
      <c r="V582" s="26" t="s">
        <v>58</v>
      </c>
    </row>
    <row r="583" spans="1:22" ht="18" customHeight="1" x14ac:dyDescent="0.3">
      <c r="A583" s="3" t="s">
        <v>1707</v>
      </c>
      <c r="B583" s="3" t="s">
        <v>1708</v>
      </c>
      <c r="C583" s="4" t="s">
        <v>609</v>
      </c>
      <c r="D583" s="4" t="s">
        <v>4</v>
      </c>
      <c r="E583" s="4" t="s">
        <v>62</v>
      </c>
      <c r="F583" s="4" t="s">
        <v>63</v>
      </c>
      <c r="G583" s="4" t="s">
        <v>64</v>
      </c>
      <c r="H583" s="4" t="s">
        <v>226</v>
      </c>
      <c r="I583" s="3">
        <v>2</v>
      </c>
      <c r="J583" s="5">
        <v>25450.33</v>
      </c>
      <c r="K583" s="5">
        <v>30</v>
      </c>
      <c r="L583" s="5">
        <v>17815.23</v>
      </c>
      <c r="M583" s="5">
        <v>35630.46</v>
      </c>
      <c r="N583" s="5">
        <v>16773.009999999998</v>
      </c>
      <c r="O583" s="5">
        <v>18857.45</v>
      </c>
      <c r="P583" s="24">
        <v>52.93</v>
      </c>
      <c r="Q583" s="6">
        <v>44962</v>
      </c>
      <c r="R583" s="6">
        <v>44967</v>
      </c>
      <c r="S583" s="4" t="s">
        <v>66</v>
      </c>
      <c r="T583" s="4" t="s">
        <v>235</v>
      </c>
      <c r="U583" s="4" t="s">
        <v>67</v>
      </c>
      <c r="V583" s="4" t="s">
        <v>68</v>
      </c>
    </row>
    <row r="584" spans="1:22" ht="18" customHeight="1" x14ac:dyDescent="0.3">
      <c r="A584" s="25" t="s">
        <v>1709</v>
      </c>
      <c r="B584" s="25" t="s">
        <v>1710</v>
      </c>
      <c r="C584" s="26" t="s">
        <v>1711</v>
      </c>
      <c r="D584" s="26" t="s">
        <v>5</v>
      </c>
      <c r="E584" s="26" t="s">
        <v>72</v>
      </c>
      <c r="F584" s="26" t="s">
        <v>73</v>
      </c>
      <c r="G584" s="26" t="s">
        <v>74</v>
      </c>
      <c r="H584" s="26" t="s">
        <v>796</v>
      </c>
      <c r="I584" s="25">
        <v>3</v>
      </c>
      <c r="J584" s="27">
        <v>33741.53</v>
      </c>
      <c r="K584" s="27">
        <v>10</v>
      </c>
      <c r="L584" s="27">
        <v>30367.38</v>
      </c>
      <c r="M584" s="27">
        <v>91102.14</v>
      </c>
      <c r="N584" s="27">
        <v>51423</v>
      </c>
      <c r="O584" s="27">
        <v>39679.14</v>
      </c>
      <c r="P584" s="28">
        <v>43.55</v>
      </c>
      <c r="Q584" s="29">
        <v>45370</v>
      </c>
      <c r="R584" s="29">
        <v>45378</v>
      </c>
      <c r="S584" s="26" t="s">
        <v>76</v>
      </c>
      <c r="T584" s="26" t="s">
        <v>56</v>
      </c>
      <c r="U584" s="26" t="s">
        <v>77</v>
      </c>
      <c r="V584" s="26" t="s">
        <v>78</v>
      </c>
    </row>
    <row r="585" spans="1:22" ht="18" customHeight="1" x14ac:dyDescent="0.3">
      <c r="A585" s="3" t="s">
        <v>1712</v>
      </c>
      <c r="B585" s="3" t="s">
        <v>1713</v>
      </c>
      <c r="C585" s="4" t="s">
        <v>1024</v>
      </c>
      <c r="D585" s="4" t="s">
        <v>6</v>
      </c>
      <c r="E585" s="4" t="s">
        <v>82</v>
      </c>
      <c r="F585" s="4" t="s">
        <v>83</v>
      </c>
      <c r="G585" s="4" t="s">
        <v>84</v>
      </c>
      <c r="H585" s="4" t="s">
        <v>234</v>
      </c>
      <c r="I585" s="3">
        <v>4</v>
      </c>
      <c r="J585" s="5">
        <v>19063.330000000002</v>
      </c>
      <c r="K585" s="5">
        <v>25</v>
      </c>
      <c r="L585" s="5">
        <v>14297.5</v>
      </c>
      <c r="M585" s="5">
        <v>57190</v>
      </c>
      <c r="N585" s="5">
        <v>39221.040000000001</v>
      </c>
      <c r="O585" s="5">
        <v>17968.96</v>
      </c>
      <c r="P585" s="24">
        <v>31.42</v>
      </c>
      <c r="Q585" s="6">
        <v>44959</v>
      </c>
      <c r="R585" s="6">
        <v>44963</v>
      </c>
      <c r="S585" s="4" t="s">
        <v>86</v>
      </c>
      <c r="T585" s="4" t="s">
        <v>56</v>
      </c>
      <c r="U585" s="4" t="s">
        <v>87</v>
      </c>
      <c r="V585" s="4" t="s">
        <v>88</v>
      </c>
    </row>
    <row r="586" spans="1:22" ht="18" customHeight="1" x14ac:dyDescent="0.3">
      <c r="A586" s="25" t="s">
        <v>1714</v>
      </c>
      <c r="B586" s="25" t="s">
        <v>1715</v>
      </c>
      <c r="C586" s="26" t="s">
        <v>1716</v>
      </c>
      <c r="D586" s="26" t="s">
        <v>7</v>
      </c>
      <c r="E586" s="26" t="s">
        <v>92</v>
      </c>
      <c r="F586" s="26" t="s">
        <v>93</v>
      </c>
      <c r="G586" s="26" t="s">
        <v>94</v>
      </c>
      <c r="H586" s="26" t="s">
        <v>509</v>
      </c>
      <c r="I586" s="25">
        <v>7</v>
      </c>
      <c r="J586" s="27">
        <v>4860.0200000000004</v>
      </c>
      <c r="K586" s="27">
        <v>0</v>
      </c>
      <c r="L586" s="27">
        <v>4860.0200000000004</v>
      </c>
      <c r="M586" s="27">
        <v>34020.14</v>
      </c>
      <c r="N586" s="27">
        <v>18076.37</v>
      </c>
      <c r="O586" s="27">
        <v>15943.77</v>
      </c>
      <c r="P586" s="28">
        <v>46.87</v>
      </c>
      <c r="Q586" s="29">
        <v>45199</v>
      </c>
      <c r="R586" s="29">
        <v>45206</v>
      </c>
      <c r="S586" s="26" t="s">
        <v>55</v>
      </c>
      <c r="T586" s="26" t="s">
        <v>56</v>
      </c>
      <c r="U586" s="26" t="s">
        <v>57</v>
      </c>
      <c r="V586" s="26" t="s">
        <v>96</v>
      </c>
    </row>
    <row r="587" spans="1:22" ht="18" customHeight="1" x14ac:dyDescent="0.3">
      <c r="A587" s="3" t="s">
        <v>1717</v>
      </c>
      <c r="B587" s="3" t="s">
        <v>1558</v>
      </c>
      <c r="C587" s="4" t="s">
        <v>1110</v>
      </c>
      <c r="D587" s="4" t="s">
        <v>8</v>
      </c>
      <c r="E587" s="4" t="s">
        <v>100</v>
      </c>
      <c r="F587" s="4" t="s">
        <v>52</v>
      </c>
      <c r="G587" s="4" t="s">
        <v>53</v>
      </c>
      <c r="H587" s="4" t="s">
        <v>101</v>
      </c>
      <c r="I587" s="3">
        <v>6</v>
      </c>
      <c r="J587" s="5">
        <v>49906.25</v>
      </c>
      <c r="K587" s="5">
        <v>0</v>
      </c>
      <c r="L587" s="5">
        <v>49906.25</v>
      </c>
      <c r="M587" s="5">
        <v>299437.5</v>
      </c>
      <c r="N587" s="5">
        <v>164795.54</v>
      </c>
      <c r="O587" s="5">
        <v>134641.96</v>
      </c>
      <c r="P587" s="24">
        <v>44.96</v>
      </c>
      <c r="Q587" s="6">
        <v>45008</v>
      </c>
      <c r="R587" s="6">
        <v>45013</v>
      </c>
      <c r="S587" s="4" t="s">
        <v>66</v>
      </c>
      <c r="T587" s="4" t="s">
        <v>56</v>
      </c>
      <c r="U587" s="4" t="s">
        <v>67</v>
      </c>
      <c r="V587" s="4" t="s">
        <v>103</v>
      </c>
    </row>
    <row r="588" spans="1:22" ht="18" customHeight="1" x14ac:dyDescent="0.3">
      <c r="A588" s="25" t="s">
        <v>1718</v>
      </c>
      <c r="B588" s="25" t="s">
        <v>1719</v>
      </c>
      <c r="C588" s="26" t="s">
        <v>1720</v>
      </c>
      <c r="D588" s="26" t="s">
        <v>23</v>
      </c>
      <c r="E588" s="26" t="s">
        <v>107</v>
      </c>
      <c r="F588" s="26" t="s">
        <v>63</v>
      </c>
      <c r="G588" s="26" t="s">
        <v>64</v>
      </c>
      <c r="H588" s="26" t="s">
        <v>451</v>
      </c>
      <c r="I588" s="25">
        <v>3</v>
      </c>
      <c r="J588" s="27">
        <v>21133.07</v>
      </c>
      <c r="K588" s="27">
        <v>0</v>
      </c>
      <c r="L588" s="27">
        <v>21133.07</v>
      </c>
      <c r="M588" s="27">
        <v>63399.21</v>
      </c>
      <c r="N588" s="27">
        <v>36146.32</v>
      </c>
      <c r="O588" s="27">
        <v>27252.89</v>
      </c>
      <c r="P588" s="28">
        <v>42.99</v>
      </c>
      <c r="Q588" s="29">
        <v>45188</v>
      </c>
      <c r="R588" s="29">
        <v>45194</v>
      </c>
      <c r="S588" s="26" t="s">
        <v>76</v>
      </c>
      <c r="T588" s="26" t="s">
        <v>56</v>
      </c>
      <c r="U588" s="26" t="s">
        <v>77</v>
      </c>
      <c r="V588" s="26" t="s">
        <v>109</v>
      </c>
    </row>
    <row r="589" spans="1:22" ht="18" customHeight="1" x14ac:dyDescent="0.3">
      <c r="A589" s="3" t="s">
        <v>1721</v>
      </c>
      <c r="B589" s="3" t="s">
        <v>1722</v>
      </c>
      <c r="C589" s="4" t="s">
        <v>1723</v>
      </c>
      <c r="D589" s="4" t="s">
        <v>24</v>
      </c>
      <c r="E589" s="4" t="s">
        <v>113</v>
      </c>
      <c r="F589" s="4" t="s">
        <v>73</v>
      </c>
      <c r="G589" s="4" t="s">
        <v>74</v>
      </c>
      <c r="H589" s="4" t="s">
        <v>137</v>
      </c>
      <c r="I589" s="3">
        <v>2</v>
      </c>
      <c r="J589" s="5">
        <v>27366.25</v>
      </c>
      <c r="K589" s="5">
        <v>10</v>
      </c>
      <c r="L589" s="5">
        <v>24629.62</v>
      </c>
      <c r="M589" s="5">
        <v>49259.24</v>
      </c>
      <c r="N589" s="5">
        <v>35510.65</v>
      </c>
      <c r="O589" s="5">
        <v>13748.59</v>
      </c>
      <c r="P589" s="24">
        <v>27.91</v>
      </c>
      <c r="Q589" s="6">
        <v>45280</v>
      </c>
      <c r="R589" s="6">
        <v>45284</v>
      </c>
      <c r="S589" s="4" t="s">
        <v>86</v>
      </c>
      <c r="T589" s="4" t="s">
        <v>56</v>
      </c>
      <c r="U589" s="4" t="s">
        <v>87</v>
      </c>
      <c r="V589" s="4" t="s">
        <v>115</v>
      </c>
    </row>
    <row r="590" spans="1:22" ht="18" customHeight="1" x14ac:dyDescent="0.3">
      <c r="A590" s="25" t="s">
        <v>1724</v>
      </c>
      <c r="B590" s="25" t="s">
        <v>1725</v>
      </c>
      <c r="C590" s="26" t="s">
        <v>286</v>
      </c>
      <c r="D590" s="26" t="s">
        <v>25</v>
      </c>
      <c r="E590" s="26" t="s">
        <v>107</v>
      </c>
      <c r="F590" s="26" t="s">
        <v>83</v>
      </c>
      <c r="G590" s="26" t="s">
        <v>84</v>
      </c>
      <c r="H590" s="26" t="s">
        <v>85</v>
      </c>
      <c r="I590" s="25">
        <v>5</v>
      </c>
      <c r="J590" s="27">
        <v>32003.17</v>
      </c>
      <c r="K590" s="27">
        <v>30</v>
      </c>
      <c r="L590" s="27">
        <v>22402.22</v>
      </c>
      <c r="M590" s="27">
        <v>112011.1</v>
      </c>
      <c r="N590" s="27">
        <v>52357.35</v>
      </c>
      <c r="O590" s="27">
        <v>59653.75</v>
      </c>
      <c r="P590" s="28">
        <v>53.26</v>
      </c>
      <c r="Q590" s="29">
        <v>45037</v>
      </c>
      <c r="R590" s="29">
        <v>45041</v>
      </c>
      <c r="S590" s="26" t="s">
        <v>55</v>
      </c>
      <c r="T590" s="26" t="s">
        <v>56</v>
      </c>
      <c r="U590" s="26" t="s">
        <v>57</v>
      </c>
      <c r="V590" s="26" t="s">
        <v>120</v>
      </c>
    </row>
    <row r="591" spans="1:22" ht="18" customHeight="1" x14ac:dyDescent="0.3">
      <c r="A591" s="3" t="s">
        <v>1726</v>
      </c>
      <c r="B591" s="3" t="s">
        <v>1525</v>
      </c>
      <c r="C591" s="4" t="s">
        <v>1727</v>
      </c>
      <c r="D591" s="4" t="s">
        <v>9</v>
      </c>
      <c r="E591" s="4" t="s">
        <v>62</v>
      </c>
      <c r="F591" s="4" t="s">
        <v>93</v>
      </c>
      <c r="G591" s="4" t="s">
        <v>94</v>
      </c>
      <c r="H591" s="4" t="s">
        <v>1051</v>
      </c>
      <c r="I591" s="3">
        <v>8</v>
      </c>
      <c r="J591" s="5">
        <v>23441.79</v>
      </c>
      <c r="K591" s="5">
        <v>25</v>
      </c>
      <c r="L591" s="5">
        <v>17581.34</v>
      </c>
      <c r="M591" s="5">
        <v>140650.72</v>
      </c>
      <c r="N591" s="5">
        <v>67645.850000000006</v>
      </c>
      <c r="O591" s="5">
        <v>73004.87</v>
      </c>
      <c r="P591" s="24">
        <v>51.91</v>
      </c>
      <c r="Q591" s="6">
        <v>45604</v>
      </c>
      <c r="R591" s="6">
        <v>45605</v>
      </c>
      <c r="S591" s="4" t="s">
        <v>66</v>
      </c>
      <c r="T591" s="4" t="s">
        <v>56</v>
      </c>
      <c r="U591" s="4" t="s">
        <v>67</v>
      </c>
      <c r="V591" s="4" t="s">
        <v>125</v>
      </c>
    </row>
    <row r="592" spans="1:22" ht="18" customHeight="1" x14ac:dyDescent="0.3">
      <c r="A592" s="25" t="s">
        <v>1728</v>
      </c>
      <c r="B592" s="25" t="s">
        <v>1729</v>
      </c>
      <c r="C592" s="26" t="s">
        <v>402</v>
      </c>
      <c r="D592" s="26" t="s">
        <v>3</v>
      </c>
      <c r="E592" s="26" t="s">
        <v>3</v>
      </c>
      <c r="F592" s="26" t="s">
        <v>52</v>
      </c>
      <c r="G592" s="26" t="s">
        <v>53</v>
      </c>
      <c r="H592" s="26" t="s">
        <v>260</v>
      </c>
      <c r="I592" s="25">
        <v>7</v>
      </c>
      <c r="J592" s="27">
        <v>27926.52</v>
      </c>
      <c r="K592" s="27">
        <v>30</v>
      </c>
      <c r="L592" s="27">
        <v>19548.560000000001</v>
      </c>
      <c r="M592" s="27">
        <v>136839.92000000001</v>
      </c>
      <c r="N592" s="27">
        <v>77272.05</v>
      </c>
      <c r="O592" s="27">
        <v>59567.87</v>
      </c>
      <c r="P592" s="28">
        <v>43.53</v>
      </c>
      <c r="Q592" s="29">
        <v>45054</v>
      </c>
      <c r="R592" s="29">
        <v>45058</v>
      </c>
      <c r="S592" s="26" t="s">
        <v>76</v>
      </c>
      <c r="T592" s="26" t="s">
        <v>56</v>
      </c>
      <c r="U592" s="26" t="s">
        <v>77</v>
      </c>
      <c r="V592" s="26" t="s">
        <v>58</v>
      </c>
    </row>
    <row r="593" spans="1:22" ht="18" customHeight="1" x14ac:dyDescent="0.3">
      <c r="A593" s="3" t="s">
        <v>1730</v>
      </c>
      <c r="B593" s="3" t="s">
        <v>1731</v>
      </c>
      <c r="C593" s="4" t="s">
        <v>1732</v>
      </c>
      <c r="D593" s="4" t="s">
        <v>4</v>
      </c>
      <c r="E593" s="4" t="s">
        <v>62</v>
      </c>
      <c r="F593" s="4" t="s">
        <v>63</v>
      </c>
      <c r="G593" s="4" t="s">
        <v>64</v>
      </c>
      <c r="H593" s="4" t="s">
        <v>545</v>
      </c>
      <c r="I593" s="3">
        <v>8</v>
      </c>
      <c r="J593" s="5">
        <v>10128.280000000001</v>
      </c>
      <c r="K593" s="5">
        <v>25</v>
      </c>
      <c r="L593" s="5">
        <v>7596.21</v>
      </c>
      <c r="M593" s="5">
        <v>60769.68</v>
      </c>
      <c r="N593" s="5">
        <v>45488.51</v>
      </c>
      <c r="O593" s="5">
        <v>15281.17</v>
      </c>
      <c r="P593" s="24">
        <v>25.15</v>
      </c>
      <c r="Q593" s="6">
        <v>45341</v>
      </c>
      <c r="R593" s="6">
        <v>45350</v>
      </c>
      <c r="S593" s="4" t="s">
        <v>86</v>
      </c>
      <c r="T593" s="4" t="s">
        <v>56</v>
      </c>
      <c r="U593" s="4" t="s">
        <v>87</v>
      </c>
      <c r="V593" s="4" t="s">
        <v>68</v>
      </c>
    </row>
    <row r="594" spans="1:22" ht="18" customHeight="1" x14ac:dyDescent="0.3">
      <c r="A594" s="25" t="s">
        <v>1733</v>
      </c>
      <c r="B594" s="25" t="s">
        <v>425</v>
      </c>
      <c r="C594" s="26" t="s">
        <v>1734</v>
      </c>
      <c r="D594" s="26" t="s">
        <v>5</v>
      </c>
      <c r="E594" s="26" t="s">
        <v>72</v>
      </c>
      <c r="F594" s="26" t="s">
        <v>73</v>
      </c>
      <c r="G594" s="26" t="s">
        <v>74</v>
      </c>
      <c r="H594" s="26" t="s">
        <v>591</v>
      </c>
      <c r="I594" s="25">
        <v>10</v>
      </c>
      <c r="J594" s="27">
        <v>46495.17</v>
      </c>
      <c r="K594" s="27">
        <v>0</v>
      </c>
      <c r="L594" s="27">
        <v>46495.17</v>
      </c>
      <c r="M594" s="27">
        <v>464951.7</v>
      </c>
      <c r="N594" s="27">
        <v>271597.95</v>
      </c>
      <c r="O594" s="27">
        <v>193353.75</v>
      </c>
      <c r="P594" s="28">
        <v>41.59</v>
      </c>
      <c r="Q594" s="29">
        <v>45053</v>
      </c>
      <c r="R594" s="29">
        <v>45058</v>
      </c>
      <c r="S594" s="26" t="s">
        <v>55</v>
      </c>
      <c r="T594" s="26" t="s">
        <v>56</v>
      </c>
      <c r="U594" s="26" t="s">
        <v>57</v>
      </c>
      <c r="V594" s="26" t="s">
        <v>78</v>
      </c>
    </row>
    <row r="595" spans="1:22" ht="18" customHeight="1" x14ac:dyDescent="0.3">
      <c r="A595" s="3" t="s">
        <v>1735</v>
      </c>
      <c r="B595" s="3" t="s">
        <v>1736</v>
      </c>
      <c r="C595" s="4" t="s">
        <v>1363</v>
      </c>
      <c r="D595" s="4" t="s">
        <v>6</v>
      </c>
      <c r="E595" s="4" t="s">
        <v>82</v>
      </c>
      <c r="F595" s="4" t="s">
        <v>83</v>
      </c>
      <c r="G595" s="4" t="s">
        <v>84</v>
      </c>
      <c r="H595" s="4" t="s">
        <v>407</v>
      </c>
      <c r="I595" s="3">
        <v>9</v>
      </c>
      <c r="J595" s="5">
        <v>16240.77</v>
      </c>
      <c r="K595" s="5">
        <v>0</v>
      </c>
      <c r="L595" s="5">
        <v>16240.77</v>
      </c>
      <c r="M595" s="5">
        <v>146166.93</v>
      </c>
      <c r="N595" s="5">
        <v>74414.039999999994</v>
      </c>
      <c r="O595" s="5">
        <v>71752.89</v>
      </c>
      <c r="P595" s="24">
        <v>49.09</v>
      </c>
      <c r="Q595" s="6">
        <v>45614</v>
      </c>
      <c r="R595" s="6">
        <v>45624</v>
      </c>
      <c r="S595" s="4" t="s">
        <v>66</v>
      </c>
      <c r="T595" s="4" t="s">
        <v>235</v>
      </c>
      <c r="U595" s="4" t="s">
        <v>67</v>
      </c>
      <c r="V595" s="4" t="s">
        <v>88</v>
      </c>
    </row>
    <row r="596" spans="1:22" ht="18" customHeight="1" x14ac:dyDescent="0.3">
      <c r="A596" s="25" t="s">
        <v>1737</v>
      </c>
      <c r="B596" s="25" t="s">
        <v>1738</v>
      </c>
      <c r="C596" s="26" t="s">
        <v>1739</v>
      </c>
      <c r="D596" s="26" t="s">
        <v>7</v>
      </c>
      <c r="E596" s="26" t="s">
        <v>92</v>
      </c>
      <c r="F596" s="26" t="s">
        <v>93</v>
      </c>
      <c r="G596" s="26" t="s">
        <v>94</v>
      </c>
      <c r="H596" s="26" t="s">
        <v>164</v>
      </c>
      <c r="I596" s="25">
        <v>3</v>
      </c>
      <c r="J596" s="27">
        <v>28919.69</v>
      </c>
      <c r="K596" s="27">
        <v>10</v>
      </c>
      <c r="L596" s="27">
        <v>26027.72</v>
      </c>
      <c r="M596" s="27">
        <v>78083.16</v>
      </c>
      <c r="N596" s="27">
        <v>55700.98</v>
      </c>
      <c r="O596" s="27">
        <v>22382.18</v>
      </c>
      <c r="P596" s="28">
        <v>28.66</v>
      </c>
      <c r="Q596" s="29">
        <v>45145</v>
      </c>
      <c r="R596" s="29">
        <v>45151</v>
      </c>
      <c r="S596" s="26" t="s">
        <v>76</v>
      </c>
      <c r="T596" s="26" t="s">
        <v>56</v>
      </c>
      <c r="U596" s="26" t="s">
        <v>77</v>
      </c>
      <c r="V596" s="26" t="s">
        <v>96</v>
      </c>
    </row>
    <row r="597" spans="1:22" ht="18" customHeight="1" x14ac:dyDescent="0.3">
      <c r="A597" s="3" t="s">
        <v>1740</v>
      </c>
      <c r="B597" s="3" t="s">
        <v>1741</v>
      </c>
      <c r="C597" s="4" t="s">
        <v>1742</v>
      </c>
      <c r="D597" s="4" t="s">
        <v>8</v>
      </c>
      <c r="E597" s="4" t="s">
        <v>100</v>
      </c>
      <c r="F597" s="4" t="s">
        <v>52</v>
      </c>
      <c r="G597" s="4" t="s">
        <v>53</v>
      </c>
      <c r="H597" s="4" t="s">
        <v>613</v>
      </c>
      <c r="I597" s="3">
        <v>1</v>
      </c>
      <c r="J597" s="5">
        <v>20082.919999999998</v>
      </c>
      <c r="K597" s="5">
        <v>15</v>
      </c>
      <c r="L597" s="5">
        <v>17070.48</v>
      </c>
      <c r="M597" s="5">
        <v>17070.48</v>
      </c>
      <c r="N597" s="5">
        <v>8707.74</v>
      </c>
      <c r="O597" s="5">
        <v>8362.74</v>
      </c>
      <c r="P597" s="24">
        <v>48.99</v>
      </c>
      <c r="Q597" s="6">
        <v>45075</v>
      </c>
      <c r="R597" s="6">
        <v>45084</v>
      </c>
      <c r="S597" s="4" t="s">
        <v>86</v>
      </c>
      <c r="T597" s="4" t="s">
        <v>56</v>
      </c>
      <c r="U597" s="4" t="s">
        <v>87</v>
      </c>
      <c r="V597" s="4" t="s">
        <v>103</v>
      </c>
    </row>
    <row r="598" spans="1:22" ht="18" customHeight="1" x14ac:dyDescent="0.3">
      <c r="A598" s="25" t="s">
        <v>1743</v>
      </c>
      <c r="B598" s="25" t="s">
        <v>1041</v>
      </c>
      <c r="C598" s="26" t="s">
        <v>1744</v>
      </c>
      <c r="D598" s="26" t="s">
        <v>23</v>
      </c>
      <c r="E598" s="26" t="s">
        <v>107</v>
      </c>
      <c r="F598" s="26" t="s">
        <v>63</v>
      </c>
      <c r="G598" s="26" t="s">
        <v>64</v>
      </c>
      <c r="H598" s="26" t="s">
        <v>1372</v>
      </c>
      <c r="I598" s="25">
        <v>9</v>
      </c>
      <c r="J598" s="27">
        <v>39585.99</v>
      </c>
      <c r="K598" s="27">
        <v>30</v>
      </c>
      <c r="L598" s="27">
        <v>27710.19</v>
      </c>
      <c r="M598" s="27">
        <v>249391.71</v>
      </c>
      <c r="N598" s="27">
        <v>112898.05</v>
      </c>
      <c r="O598" s="27">
        <v>136493.66</v>
      </c>
      <c r="P598" s="28">
        <v>54.73</v>
      </c>
      <c r="Q598" s="29">
        <v>45288</v>
      </c>
      <c r="R598" s="29">
        <v>45295</v>
      </c>
      <c r="S598" s="26" t="s">
        <v>55</v>
      </c>
      <c r="T598" s="26" t="s">
        <v>56</v>
      </c>
      <c r="U598" s="26" t="s">
        <v>57</v>
      </c>
      <c r="V598" s="26" t="s">
        <v>109</v>
      </c>
    </row>
    <row r="599" spans="1:22" ht="18" customHeight="1" x14ac:dyDescent="0.3">
      <c r="A599" s="3" t="s">
        <v>1745</v>
      </c>
      <c r="B599" s="3" t="s">
        <v>1662</v>
      </c>
      <c r="C599" s="4" t="s">
        <v>1746</v>
      </c>
      <c r="D599" s="4" t="s">
        <v>24</v>
      </c>
      <c r="E599" s="4" t="s">
        <v>113</v>
      </c>
      <c r="F599" s="4" t="s">
        <v>73</v>
      </c>
      <c r="G599" s="4" t="s">
        <v>74</v>
      </c>
      <c r="H599" s="4" t="s">
        <v>781</v>
      </c>
      <c r="I599" s="3">
        <v>1</v>
      </c>
      <c r="J599" s="5">
        <v>38681.83</v>
      </c>
      <c r="K599" s="5">
        <v>5</v>
      </c>
      <c r="L599" s="5">
        <v>36747.74</v>
      </c>
      <c r="M599" s="5">
        <v>36747.74</v>
      </c>
      <c r="N599" s="5">
        <v>22959.53</v>
      </c>
      <c r="O599" s="5">
        <v>13788.21</v>
      </c>
      <c r="P599" s="24">
        <v>37.520000000000003</v>
      </c>
      <c r="Q599" s="6">
        <v>45136</v>
      </c>
      <c r="R599" s="6">
        <v>45141</v>
      </c>
      <c r="S599" s="4" t="s">
        <v>66</v>
      </c>
      <c r="T599" s="4" t="s">
        <v>56</v>
      </c>
      <c r="U599" s="4" t="s">
        <v>67</v>
      </c>
      <c r="V599" s="4" t="s">
        <v>115</v>
      </c>
    </row>
    <row r="600" spans="1:22" ht="18" customHeight="1" x14ac:dyDescent="0.3">
      <c r="A600" s="25" t="s">
        <v>1747</v>
      </c>
      <c r="B600" s="25" t="s">
        <v>1748</v>
      </c>
      <c r="C600" s="26" t="s">
        <v>1749</v>
      </c>
      <c r="D600" s="26" t="s">
        <v>25</v>
      </c>
      <c r="E600" s="26" t="s">
        <v>107</v>
      </c>
      <c r="F600" s="26" t="s">
        <v>83</v>
      </c>
      <c r="G600" s="26" t="s">
        <v>84</v>
      </c>
      <c r="H600" s="26" t="s">
        <v>253</v>
      </c>
      <c r="I600" s="25">
        <v>8</v>
      </c>
      <c r="J600" s="27">
        <v>43086.43</v>
      </c>
      <c r="K600" s="27">
        <v>25</v>
      </c>
      <c r="L600" s="27">
        <v>32314.82</v>
      </c>
      <c r="M600" s="27">
        <v>258518.56</v>
      </c>
      <c r="N600" s="27">
        <v>120869.5</v>
      </c>
      <c r="O600" s="27">
        <v>137649.06</v>
      </c>
      <c r="P600" s="28">
        <v>53.25</v>
      </c>
      <c r="Q600" s="29">
        <v>45152</v>
      </c>
      <c r="R600" s="29">
        <v>45157</v>
      </c>
      <c r="S600" s="26" t="s">
        <v>76</v>
      </c>
      <c r="T600" s="26" t="s">
        <v>56</v>
      </c>
      <c r="U600" s="26" t="s">
        <v>77</v>
      </c>
      <c r="V600" s="26" t="s">
        <v>120</v>
      </c>
    </row>
    <row r="601" spans="1:22" ht="18" customHeight="1" x14ac:dyDescent="0.3">
      <c r="A601" s="3" t="s">
        <v>1750</v>
      </c>
      <c r="B601" s="3" t="s">
        <v>1751</v>
      </c>
      <c r="C601" s="4" t="s">
        <v>1274</v>
      </c>
      <c r="D601" s="4" t="s">
        <v>9</v>
      </c>
      <c r="E601" s="4" t="s">
        <v>62</v>
      </c>
      <c r="F601" s="4" t="s">
        <v>93</v>
      </c>
      <c r="G601" s="4" t="s">
        <v>94</v>
      </c>
      <c r="H601" s="4" t="s">
        <v>1269</v>
      </c>
      <c r="I601" s="3">
        <v>8</v>
      </c>
      <c r="J601" s="5">
        <v>22389.87</v>
      </c>
      <c r="K601" s="5">
        <v>25</v>
      </c>
      <c r="L601" s="5">
        <v>16792.400000000001</v>
      </c>
      <c r="M601" s="5">
        <v>134339.20000000001</v>
      </c>
      <c r="N601" s="5">
        <v>68724.320000000007</v>
      </c>
      <c r="O601" s="5">
        <v>65614.880000000005</v>
      </c>
      <c r="P601" s="24">
        <v>48.84</v>
      </c>
      <c r="Q601" s="6">
        <v>45121</v>
      </c>
      <c r="R601" s="6">
        <v>45127</v>
      </c>
      <c r="S601" s="4" t="s">
        <v>86</v>
      </c>
      <c r="T601" s="4" t="s">
        <v>56</v>
      </c>
      <c r="U601" s="4" t="s">
        <v>87</v>
      </c>
      <c r="V601" s="4" t="s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7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2" customWidth="1"/>
    <col min="3" max="3" width="55" customWidth="1"/>
    <col min="4" max="4" width="35" customWidth="1"/>
    <col min="5" max="5" width="30" customWidth="1"/>
  </cols>
  <sheetData>
    <row r="1" spans="1:5" ht="31.95" customHeight="1" x14ac:dyDescent="0.3">
      <c r="A1" s="35" t="s">
        <v>1752</v>
      </c>
      <c r="B1" s="30"/>
      <c r="C1" s="30"/>
      <c r="D1" s="30"/>
      <c r="E1" s="30"/>
    </row>
    <row r="2" spans="1:5" ht="16.05" customHeight="1" x14ac:dyDescent="0.3">
      <c r="A2" s="33" t="s">
        <v>10</v>
      </c>
      <c r="B2" s="30"/>
      <c r="C2" s="30"/>
      <c r="D2" s="30"/>
      <c r="E2" s="30"/>
    </row>
    <row r="3" spans="1:5" ht="22.05" customHeight="1" x14ac:dyDescent="0.3">
      <c r="A3" s="1" t="s">
        <v>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22.05" customHeight="1" x14ac:dyDescent="0.3">
      <c r="A4" s="32" t="s">
        <v>15</v>
      </c>
      <c r="B4" s="30"/>
      <c r="C4" s="30"/>
      <c r="D4" s="30"/>
      <c r="E4" s="30"/>
    </row>
    <row r="5" spans="1:5" ht="36" customHeight="1" x14ac:dyDescent="0.3">
      <c r="A5" s="7">
        <v>1</v>
      </c>
      <c r="B5" s="8" t="s">
        <v>16</v>
      </c>
      <c r="C5" s="9" t="s">
        <v>1753</v>
      </c>
      <c r="D5" s="10">
        <f>COUNTA(A2:A601)</f>
        <v>86</v>
      </c>
      <c r="E5" s="11"/>
    </row>
    <row r="6" spans="1:5" ht="36" customHeight="1" x14ac:dyDescent="0.3">
      <c r="A6" s="7">
        <v>2</v>
      </c>
      <c r="B6" s="8" t="s">
        <v>16</v>
      </c>
      <c r="C6" s="9" t="s">
        <v>1754</v>
      </c>
      <c r="D6" s="10">
        <f>SUM(M2:M601)</f>
        <v>0</v>
      </c>
      <c r="E6" s="11"/>
    </row>
    <row r="7" spans="1:5" ht="36" customHeight="1" x14ac:dyDescent="0.3">
      <c r="A7" s="7">
        <v>3</v>
      </c>
      <c r="B7" s="8" t="s">
        <v>16</v>
      </c>
      <c r="C7" s="9" t="s">
        <v>1755</v>
      </c>
      <c r="D7" s="10">
        <f>SUM(O2:O601)</f>
        <v>0</v>
      </c>
      <c r="E7" s="11"/>
    </row>
    <row r="8" spans="1:5" ht="36" customHeight="1" x14ac:dyDescent="0.3">
      <c r="A8" s="7">
        <v>4</v>
      </c>
      <c r="B8" s="8" t="s">
        <v>16</v>
      </c>
      <c r="C8" s="9" t="s">
        <v>1756</v>
      </c>
      <c r="D8" s="10" t="e">
        <f>AVERAGE(P2:P601)</f>
        <v>#DIV/0!</v>
      </c>
      <c r="E8" s="11"/>
    </row>
    <row r="9" spans="1:5" ht="36" customHeight="1" x14ac:dyDescent="0.3">
      <c r="A9" s="7">
        <v>5</v>
      </c>
      <c r="B9" s="8" t="s">
        <v>16</v>
      </c>
      <c r="C9" s="9" t="s">
        <v>1757</v>
      </c>
      <c r="D9" s="10">
        <f>COUNTIF(F2:F601,"Electronics")</f>
        <v>0</v>
      </c>
      <c r="E9" s="11"/>
    </row>
    <row r="10" spans="1:5" ht="36" customHeight="1" x14ac:dyDescent="0.3">
      <c r="A10" s="7">
        <v>6</v>
      </c>
      <c r="B10" s="8" t="s">
        <v>16</v>
      </c>
      <c r="C10" s="9" t="s">
        <v>1758</v>
      </c>
      <c r="D10" s="10">
        <f>SUMIF(F2:F601,"Fashion",M2:M601)</f>
        <v>0</v>
      </c>
      <c r="E10" s="11"/>
    </row>
    <row r="11" spans="1:5" ht="36" customHeight="1" x14ac:dyDescent="0.3">
      <c r="A11" s="7">
        <v>7</v>
      </c>
      <c r="B11" s="8" t="s">
        <v>16</v>
      </c>
      <c r="C11" s="9" t="s">
        <v>1759</v>
      </c>
      <c r="D11" s="10">
        <f>COUNTIF(T2:T601,"Returned")</f>
        <v>0</v>
      </c>
      <c r="E11" s="11"/>
    </row>
    <row r="12" spans="1:5" ht="36" customHeight="1" x14ac:dyDescent="0.3">
      <c r="A12" s="7">
        <v>8</v>
      </c>
      <c r="B12" s="8" t="s">
        <v>16</v>
      </c>
      <c r="C12" s="9" t="s">
        <v>1760</v>
      </c>
      <c r="D12" s="10">
        <f>MAX(M2:M601)</f>
        <v>0</v>
      </c>
      <c r="E12" s="11"/>
    </row>
    <row r="13" spans="1:5" ht="36" customHeight="1" x14ac:dyDescent="0.3">
      <c r="A13" s="7">
        <v>9</v>
      </c>
      <c r="B13" s="8" t="s">
        <v>16</v>
      </c>
      <c r="C13" s="9" t="s">
        <v>1761</v>
      </c>
      <c r="D13" s="10">
        <f>MIN(O2:O601)</f>
        <v>0</v>
      </c>
      <c r="E13" s="11"/>
    </row>
    <row r="14" spans="1:5" ht="36" customHeight="1" x14ac:dyDescent="0.3">
      <c r="A14" s="7">
        <v>10</v>
      </c>
      <c r="B14" s="8" t="s">
        <v>16</v>
      </c>
      <c r="C14" s="9" t="s">
        <v>1762</v>
      </c>
      <c r="D14" s="10" t="str">
        <f ca="1">COUNTIF(D2:D601,"Mumbai")</f>
        <v/>
      </c>
      <c r="E14" s="11"/>
    </row>
    <row r="15" spans="1:5" ht="36" customHeight="1" x14ac:dyDescent="0.3">
      <c r="A15" s="7">
        <v>11</v>
      </c>
      <c r="B15" s="8" t="s">
        <v>16</v>
      </c>
      <c r="C15" s="9" t="s">
        <v>1763</v>
      </c>
      <c r="D15" s="10">
        <f>SUM(N2:N601)</f>
        <v>0</v>
      </c>
      <c r="E15" s="11"/>
    </row>
    <row r="16" spans="1:5" ht="36" customHeight="1" x14ac:dyDescent="0.3">
      <c r="A16" s="7">
        <v>12</v>
      </c>
      <c r="B16" s="8" t="s">
        <v>16</v>
      </c>
      <c r="C16" s="9" t="s">
        <v>1764</v>
      </c>
      <c r="D16" s="10" t="e">
        <f>AVERAGE(I2:I601)</f>
        <v>#DIV/0!</v>
      </c>
      <c r="E16" s="11"/>
    </row>
    <row r="17" spans="1:5" ht="36" customHeight="1" x14ac:dyDescent="0.3">
      <c r="A17" s="7">
        <v>13</v>
      </c>
      <c r="B17" s="8" t="s">
        <v>16</v>
      </c>
      <c r="C17" s="9" t="s">
        <v>1765</v>
      </c>
      <c r="D17" s="10">
        <f>COUNTIF(U2:U601,"Mobile App")</f>
        <v>0</v>
      </c>
      <c r="E17" s="11"/>
    </row>
    <row r="18" spans="1:5" ht="36" customHeight="1" x14ac:dyDescent="0.3">
      <c r="A18" s="7">
        <v>14</v>
      </c>
      <c r="B18" s="8" t="s">
        <v>16</v>
      </c>
      <c r="C18" s="9" t="s">
        <v>1766</v>
      </c>
      <c r="D18" s="10">
        <f>SUMIF(E2:E601,"Maharashtra",M2:M601)</f>
        <v>0</v>
      </c>
      <c r="E18" s="11"/>
    </row>
    <row r="19" spans="1:5" ht="36" customHeight="1" x14ac:dyDescent="0.3">
      <c r="A19" s="7">
        <v>15</v>
      </c>
      <c r="B19" s="8" t="s">
        <v>16</v>
      </c>
      <c r="C19" s="9" t="s">
        <v>1767</v>
      </c>
      <c r="D19" s="10">
        <f>COUNTIF(S2:S601,"Same Day")</f>
        <v>0</v>
      </c>
      <c r="E19" s="11"/>
    </row>
    <row r="20" spans="1:5" ht="36" customHeight="1" x14ac:dyDescent="0.3">
      <c r="A20" s="7">
        <v>16</v>
      </c>
      <c r="B20" s="8" t="s">
        <v>16</v>
      </c>
      <c r="C20" s="9" t="s">
        <v>1768</v>
      </c>
      <c r="D20" s="10" t="str">
        <f>UPPER(F2)</f>
        <v/>
      </c>
      <c r="E20" s="11"/>
    </row>
    <row r="21" spans="1:5" ht="36" customHeight="1" x14ac:dyDescent="0.3">
      <c r="A21" s="7">
        <v>17</v>
      </c>
      <c r="B21" s="8" t="s">
        <v>16</v>
      </c>
      <c r="C21" s="9" t="s">
        <v>1769</v>
      </c>
      <c r="D21" s="10">
        <f>LEN(H2)</f>
        <v>0</v>
      </c>
      <c r="E21" s="11"/>
    </row>
    <row r="22" spans="1:5" ht="36" customHeight="1" x14ac:dyDescent="0.3">
      <c r="A22" s="7">
        <v>18</v>
      </c>
      <c r="B22" s="8" t="s">
        <v>16</v>
      </c>
      <c r="C22" s="9" t="s">
        <v>1770</v>
      </c>
      <c r="D22" s="10">
        <f ca="1">TODAY()</f>
        <v>46211</v>
      </c>
      <c r="E22" s="11"/>
    </row>
    <row r="23" spans="1:5" ht="36" customHeight="1" x14ac:dyDescent="0.3">
      <c r="A23" s="7">
        <v>19</v>
      </c>
      <c r="B23" s="8" t="s">
        <v>16</v>
      </c>
      <c r="C23" s="9" t="s">
        <v>1771</v>
      </c>
      <c r="D23" s="10">
        <f>COUNTIF(K2:K601,0)</f>
        <v>0</v>
      </c>
      <c r="E23" s="11"/>
    </row>
    <row r="24" spans="1:5" ht="36" customHeight="1" x14ac:dyDescent="0.3">
      <c r="A24" s="7">
        <v>20</v>
      </c>
      <c r="B24" s="8" t="s">
        <v>16</v>
      </c>
      <c r="C24" s="9" t="s">
        <v>1772</v>
      </c>
      <c r="D24" s="10">
        <f>COUNTIF(K2:K601,"&gt;=20")</f>
        <v>0</v>
      </c>
      <c r="E24" s="11"/>
    </row>
    <row r="25" spans="1:5" ht="22.05" customHeight="1" x14ac:dyDescent="0.3">
      <c r="A25" s="34" t="s">
        <v>17</v>
      </c>
      <c r="B25" s="30"/>
      <c r="C25" s="30"/>
      <c r="D25" s="30"/>
      <c r="E25" s="30"/>
    </row>
    <row r="26" spans="1:5" ht="36" customHeight="1" x14ac:dyDescent="0.3">
      <c r="A26" s="12">
        <v>21</v>
      </c>
      <c r="B26" s="13" t="s">
        <v>18</v>
      </c>
      <c r="C26" s="14" t="s">
        <v>1773</v>
      </c>
      <c r="D26" s="15">
        <f ca="1">SUMIFS(M2:M601,F2:F601,"Electronics",S2:S601,"Express")</f>
        <v>0</v>
      </c>
      <c r="E26" s="11"/>
    </row>
    <row r="27" spans="1:5" ht="36" customHeight="1" x14ac:dyDescent="0.3">
      <c r="A27" s="12">
        <v>22</v>
      </c>
      <c r="B27" s="13" t="s">
        <v>18</v>
      </c>
      <c r="C27" s="14" t="s">
        <v>1774</v>
      </c>
      <c r="D27" s="15">
        <f>COUNTIFS(T2:T601,"Returned",F2:F601,"Books")</f>
        <v>0</v>
      </c>
      <c r="E27" s="11"/>
    </row>
    <row r="28" spans="1:5" ht="36" customHeight="1" x14ac:dyDescent="0.3">
      <c r="A28" s="12">
        <v>23</v>
      </c>
      <c r="B28" s="13" t="s">
        <v>18</v>
      </c>
      <c r="C28" s="14" t="s">
        <v>1775</v>
      </c>
      <c r="D28" s="15" t="e">
        <f>VLOOKUP("ORD30150",A2:M601,13,0)</f>
        <v>#N/A</v>
      </c>
      <c r="E28" s="11"/>
    </row>
    <row r="29" spans="1:5" ht="36" customHeight="1" x14ac:dyDescent="0.3">
      <c r="A29" s="12">
        <v>24</v>
      </c>
      <c r="B29" s="13" t="s">
        <v>18</v>
      </c>
      <c r="C29" s="14" t="s">
        <v>1776</v>
      </c>
      <c r="D29" s="15" t="e">
        <f ca="1">_xludf.XLOOKUP("ORD30300",A2:A601,V2:V601,"Not Found")</f>
        <v>#NAME?</v>
      </c>
      <c r="E29" s="11"/>
    </row>
    <row r="30" spans="1:5" ht="36" customHeight="1" x14ac:dyDescent="0.3">
      <c r="A30" s="12">
        <v>25</v>
      </c>
      <c r="B30" s="13" t="s">
        <v>18</v>
      </c>
      <c r="C30" s="14" t="s">
        <v>1777</v>
      </c>
      <c r="D30" s="15" t="e">
        <f>IF(P2&gt;40,"High Margin","Low Margin")  drag down</f>
        <v>#VALUE!</v>
      </c>
      <c r="E30" s="11"/>
    </row>
    <row r="31" spans="1:5" ht="36" customHeight="1" x14ac:dyDescent="0.3">
      <c r="A31" s="12">
        <v>26</v>
      </c>
      <c r="B31" s="13" t="s">
        <v>18</v>
      </c>
      <c r="C31" s="14" t="s">
        <v>1778</v>
      </c>
      <c r="D31" s="15" t="e">
        <f>AVERAGEIF(F2:F601,"Sports",M2:M601)</f>
        <v>#DIV/0!</v>
      </c>
      <c r="E31" s="11"/>
    </row>
    <row r="32" spans="1:5" ht="36" customHeight="1" x14ac:dyDescent="0.3">
      <c r="A32" s="12">
        <v>27</v>
      </c>
      <c r="B32" s="13" t="s">
        <v>18</v>
      </c>
      <c r="C32" s="14" t="s">
        <v>1779</v>
      </c>
      <c r="D32" s="15">
        <f ca="1">SUMIFS(O2:O601,U2:U601,"Website",E2:E601,"Maharashtra")</f>
        <v>0</v>
      </c>
      <c r="E32" s="11"/>
    </row>
    <row r="33" spans="1:5" ht="36" customHeight="1" x14ac:dyDescent="0.3">
      <c r="A33" s="12">
        <v>28</v>
      </c>
      <c r="B33" s="13" t="s">
        <v>18</v>
      </c>
      <c r="C33" s="14" t="s">
        <v>1780</v>
      </c>
      <c r="D33" s="15" t="s">
        <v>26</v>
      </c>
      <c r="E33" s="11"/>
    </row>
    <row r="34" spans="1:5" ht="36" customHeight="1" x14ac:dyDescent="0.3">
      <c r="A34" s="12">
        <v>29</v>
      </c>
      <c r="B34" s="13" t="s">
        <v>18</v>
      </c>
      <c r="C34" s="14" t="s">
        <v>1781</v>
      </c>
      <c r="D34" s="15" t="s">
        <v>1782</v>
      </c>
      <c r="E34" s="11"/>
    </row>
    <row r="35" spans="1:5" ht="36" customHeight="1" x14ac:dyDescent="0.3">
      <c r="A35" s="12">
        <v>30</v>
      </c>
      <c r="B35" s="13" t="s">
        <v>18</v>
      </c>
      <c r="C35" s="14" t="s">
        <v>1783</v>
      </c>
      <c r="D35" s="15">
        <f>SUMPRODUCT(M2:M601*(1-K2:K601/100))</f>
        <v>0</v>
      </c>
      <c r="E35" s="11"/>
    </row>
    <row r="36" spans="1:5" ht="36" customHeight="1" x14ac:dyDescent="0.3">
      <c r="A36" s="12">
        <v>31</v>
      </c>
      <c r="B36" s="13" t="s">
        <v>18</v>
      </c>
      <c r="C36" s="14" t="s">
        <v>1784</v>
      </c>
      <c r="D36" s="15"/>
      <c r="E36" s="11"/>
    </row>
    <row r="37" spans="1:5" ht="36" customHeight="1" x14ac:dyDescent="0.3">
      <c r="A37" s="12">
        <v>32</v>
      </c>
      <c r="B37" s="13" t="s">
        <v>18</v>
      </c>
      <c r="C37" s="14" t="s">
        <v>1785</v>
      </c>
      <c r="D37" s="15" t="str">
        <f>IFERROR(VLOOKUP("ORD00000",A2:V601,2,0),"Order Not Found")</f>
        <v>Order Not Found</v>
      </c>
      <c r="E37" s="11"/>
    </row>
    <row r="38" spans="1:5" ht="36" customHeight="1" x14ac:dyDescent="0.3">
      <c r="A38" s="12">
        <v>33</v>
      </c>
      <c r="B38" s="13" t="s">
        <v>18</v>
      </c>
      <c r="C38" s="14" t="s">
        <v>1786</v>
      </c>
      <c r="D38" s="15" t="e">
        <f ca="1">_xludf.MAXIFS(M2:M601,F2:F601,"Electronics") — repeat per category</f>
        <v>#NAME?</v>
      </c>
      <c r="E38" s="11"/>
    </row>
    <row r="39" spans="1:5" ht="36" customHeight="1" x14ac:dyDescent="0.3">
      <c r="A39" s="12">
        <v>34</v>
      </c>
      <c r="B39" s="13" t="s">
        <v>18</v>
      </c>
      <c r="C39" s="14" t="s">
        <v>1787</v>
      </c>
      <c r="D39" s="15">
        <f>COUNTIFS(I2:I601,"&gt;5",K2:K601,"&gt;=20")</f>
        <v>0</v>
      </c>
      <c r="E39" s="11"/>
    </row>
    <row r="40" spans="1:5" ht="36" customHeight="1" x14ac:dyDescent="0.3">
      <c r="A40" s="12">
        <v>35</v>
      </c>
      <c r="B40" s="13" t="s">
        <v>18</v>
      </c>
      <c r="C40" s="14" t="s">
        <v>1788</v>
      </c>
      <c r="D40" s="15" t="s">
        <v>27</v>
      </c>
      <c r="E40" s="11"/>
    </row>
    <row r="41" spans="1:5" ht="36" customHeight="1" x14ac:dyDescent="0.3">
      <c r="A41" s="12">
        <v>36</v>
      </c>
      <c r="B41" s="13" t="s">
        <v>18</v>
      </c>
      <c r="C41" s="14" t="s">
        <v>1789</v>
      </c>
      <c r="D41" s="15" t="str">
        <f>TEXT(Q2,"MMMM YYYY")</f>
        <v>January 1900</v>
      </c>
      <c r="E41" s="11"/>
    </row>
    <row r="42" spans="1:5" ht="36" customHeight="1" x14ac:dyDescent="0.3">
      <c r="A42" s="12">
        <v>37</v>
      </c>
      <c r="B42" s="13" t="s">
        <v>18</v>
      </c>
      <c r="C42" s="14" t="s">
        <v>1790</v>
      </c>
      <c r="D42" s="15"/>
      <c r="E42" s="11"/>
    </row>
    <row r="43" spans="1:5" ht="36" customHeight="1" x14ac:dyDescent="0.3">
      <c r="A43" s="12">
        <v>38</v>
      </c>
      <c r="B43" s="13" t="s">
        <v>18</v>
      </c>
      <c r="C43" s="14" t="s">
        <v>1791</v>
      </c>
      <c r="D43" s="15" t="e">
        <f ca="1">AVERAGEIFS(P2:P601,F2:F601,"Home &amp; Kitchen",I2:I601,"&gt;3")</f>
        <v>#DIV/0!</v>
      </c>
      <c r="E43" s="11"/>
    </row>
    <row r="44" spans="1:5" ht="36" customHeight="1" x14ac:dyDescent="0.3">
      <c r="A44" s="12">
        <v>39</v>
      </c>
      <c r="B44" s="13" t="s">
        <v>18</v>
      </c>
      <c r="C44" s="14" t="s">
        <v>1792</v>
      </c>
      <c r="D44" s="15" t="e">
        <f>F2&amp;" &gt; "&amp;G2  drag down</f>
        <v>#NAME?</v>
      </c>
      <c r="E44" s="11"/>
    </row>
    <row r="45" spans="1:5" ht="36" customHeight="1" x14ac:dyDescent="0.3">
      <c r="A45" s="12">
        <v>40</v>
      </c>
      <c r="B45" s="13" t="s">
        <v>18</v>
      </c>
      <c r="C45" s="14" t="s">
        <v>1793</v>
      </c>
      <c r="D45" s="15" t="s">
        <v>1794</v>
      </c>
      <c r="E45" s="11"/>
    </row>
    <row r="46" spans="1:5" ht="22.05" customHeight="1" x14ac:dyDescent="0.3">
      <c r="A46" s="36" t="s">
        <v>19</v>
      </c>
      <c r="B46" s="30"/>
      <c r="C46" s="30"/>
      <c r="D46" s="30"/>
      <c r="E46" s="30"/>
    </row>
    <row r="47" spans="1:5" ht="36" customHeight="1" x14ac:dyDescent="0.3">
      <c r="A47" s="16">
        <v>41</v>
      </c>
      <c r="B47" s="17" t="s">
        <v>20</v>
      </c>
      <c r="C47" s="18" t="s">
        <v>1795</v>
      </c>
      <c r="D47" s="19" t="s">
        <v>1796</v>
      </c>
      <c r="E47" s="11"/>
    </row>
    <row r="48" spans="1:5" ht="36" customHeight="1" x14ac:dyDescent="0.3">
      <c r="A48" s="16">
        <v>42</v>
      </c>
      <c r="B48" s="17" t="s">
        <v>20</v>
      </c>
      <c r="C48" s="18" t="s">
        <v>1797</v>
      </c>
      <c r="D48" s="19" t="e">
        <f>INDEX(H2:H601,MATCH(MAX(O2:O601),O2:O601,0))</f>
        <v>#N/A</v>
      </c>
      <c r="E48" s="11"/>
    </row>
    <row r="49" spans="1:5" ht="36" customHeight="1" x14ac:dyDescent="0.3">
      <c r="A49" s="16">
        <v>43</v>
      </c>
      <c r="B49" s="17" t="s">
        <v>20</v>
      </c>
      <c r="C49" s="18" t="s">
        <v>1798</v>
      </c>
      <c r="D49" s="19" t="str">
        <f>IF(DATEDIF(Q2,R2,"d")=1,"Excellent",IF(DATEDIF(Q2,R2,"d")&lt;=3,"Good","Poor"))</f>
        <v>Good</v>
      </c>
      <c r="E49" s="11"/>
    </row>
    <row r="50" spans="1:5" ht="36" customHeight="1" x14ac:dyDescent="0.3">
      <c r="A50" s="16">
        <v>44</v>
      </c>
      <c r="B50" s="17" t="s">
        <v>20</v>
      </c>
      <c r="C50" s="18" t="s">
        <v>1799</v>
      </c>
      <c r="D50" s="19" t="s">
        <v>1800</v>
      </c>
      <c r="E50" s="11"/>
    </row>
    <row r="51" spans="1:5" ht="36" customHeight="1" x14ac:dyDescent="0.3">
      <c r="A51" s="16">
        <v>45</v>
      </c>
      <c r="B51" s="17" t="s">
        <v>20</v>
      </c>
      <c r="C51" s="18" t="s">
        <v>1801</v>
      </c>
      <c r="D51" s="19"/>
      <c r="E51" s="11"/>
    </row>
    <row r="52" spans="1:5" ht="36" customHeight="1" x14ac:dyDescent="0.3">
      <c r="A52" s="16">
        <v>46</v>
      </c>
      <c r="B52" s="17" t="s">
        <v>20</v>
      </c>
      <c r="C52" s="18" t="s">
        <v>1802</v>
      </c>
      <c r="D52" s="19" t="s">
        <v>1803</v>
      </c>
      <c r="E52" s="11"/>
    </row>
    <row r="53" spans="1:5" ht="36" customHeight="1" x14ac:dyDescent="0.3">
      <c r="A53" s="16">
        <v>47</v>
      </c>
      <c r="B53" s="17" t="s">
        <v>20</v>
      </c>
      <c r="C53" s="18" t="s">
        <v>1804</v>
      </c>
      <c r="D53" s="19"/>
      <c r="E53" s="11"/>
    </row>
    <row r="54" spans="1:5" ht="36" customHeight="1" x14ac:dyDescent="0.3">
      <c r="A54" s="16">
        <v>48</v>
      </c>
      <c r="B54" s="17" t="s">
        <v>20</v>
      </c>
      <c r="C54" s="18" t="s">
        <v>1805</v>
      </c>
      <c r="D54" s="19" t="s">
        <v>1806</v>
      </c>
      <c r="E54" s="11"/>
    </row>
    <row r="55" spans="1:5" ht="36" customHeight="1" x14ac:dyDescent="0.3">
      <c r="A55" s="16">
        <v>49</v>
      </c>
      <c r="B55" s="17" t="s">
        <v>20</v>
      </c>
      <c r="C55" s="18" t="s">
        <v>1807</v>
      </c>
      <c r="D55" s="19">
        <f ca="1">SUMIFS(M2:M601,Q2:Q601,"&gt;="&amp;DATE(2023,1,1),Q2:Q601,"&lt;"&amp;DATE(2023,4,1))</f>
        <v>0</v>
      </c>
      <c r="E55" s="11"/>
    </row>
    <row r="56" spans="1:5" ht="36" customHeight="1" x14ac:dyDescent="0.3">
      <c r="A56" s="16">
        <v>50</v>
      </c>
      <c r="B56" s="17" t="s">
        <v>20</v>
      </c>
      <c r="C56" s="18" t="s">
        <v>1808</v>
      </c>
      <c r="D56" s="19" t="s">
        <v>1809</v>
      </c>
      <c r="E56" s="11"/>
    </row>
    <row r="57" spans="1:5" ht="36" customHeight="1" x14ac:dyDescent="0.3">
      <c r="A57" s="16">
        <v>51</v>
      </c>
      <c r="B57" s="17" t="s">
        <v>20</v>
      </c>
      <c r="C57" s="18" t="s">
        <v>1810</v>
      </c>
      <c r="D57" s="19"/>
      <c r="E57" s="11"/>
    </row>
    <row r="58" spans="1:5" ht="36" customHeight="1" x14ac:dyDescent="0.3">
      <c r="A58" s="16">
        <v>52</v>
      </c>
      <c r="B58" s="17" t="s">
        <v>20</v>
      </c>
      <c r="C58" s="18" t="s">
        <v>1811</v>
      </c>
      <c r="D58" s="19" t="s">
        <v>1812</v>
      </c>
      <c r="E58" s="11"/>
    </row>
    <row r="59" spans="1:5" ht="36" customHeight="1" x14ac:dyDescent="0.3">
      <c r="A59" s="16">
        <v>53</v>
      </c>
      <c r="B59" s="17" t="s">
        <v>20</v>
      </c>
      <c r="C59" s="18" t="s">
        <v>1813</v>
      </c>
      <c r="D59" s="19" t="s">
        <v>1814</v>
      </c>
      <c r="E59" s="11"/>
    </row>
    <row r="60" spans="1:5" ht="36" customHeight="1" x14ac:dyDescent="0.3">
      <c r="A60" s="16">
        <v>54</v>
      </c>
      <c r="B60" s="17" t="s">
        <v>20</v>
      </c>
      <c r="C60" s="18" t="s">
        <v>1815</v>
      </c>
      <c r="D60" s="19" t="s">
        <v>1816</v>
      </c>
      <c r="E60" s="11"/>
    </row>
    <row r="61" spans="1:5" ht="36" customHeight="1" x14ac:dyDescent="0.3">
      <c r="A61" s="16">
        <v>55</v>
      </c>
      <c r="B61" s="17" t="s">
        <v>20</v>
      </c>
      <c r="C61" s="18" t="s">
        <v>1817</v>
      </c>
      <c r="D61" s="19" t="s">
        <v>28</v>
      </c>
      <c r="E61" s="11"/>
    </row>
    <row r="62" spans="1:5" ht="36" customHeight="1" x14ac:dyDescent="0.3">
      <c r="A62" s="16">
        <v>56</v>
      </c>
      <c r="B62" s="17" t="s">
        <v>20</v>
      </c>
      <c r="C62" s="18" t="s">
        <v>1818</v>
      </c>
      <c r="D62" s="19" t="str">
        <f ca="1">COUNTIFS(D2:D601,"Delhi",P2:P601,"&gt;30")</f>
        <v/>
      </c>
      <c r="E62" s="11"/>
    </row>
    <row r="63" spans="1:5" ht="36" customHeight="1" x14ac:dyDescent="0.3">
      <c r="A63" s="16">
        <v>57</v>
      </c>
      <c r="B63" s="17" t="s">
        <v>20</v>
      </c>
      <c r="C63" s="18" t="s">
        <v>1819</v>
      </c>
      <c r="D63" s="19" t="e">
        <f ca="1">_xludf.MINIFS(O2:O601,U2:U601,"Website") for each channel</f>
        <v>#NAME?</v>
      </c>
      <c r="E63" s="11"/>
    </row>
    <row r="64" spans="1:5" ht="36" customHeight="1" x14ac:dyDescent="0.3">
      <c r="A64" s="16">
        <v>58</v>
      </c>
      <c r="B64" s="17" t="s">
        <v>20</v>
      </c>
      <c r="C64" s="18" t="s">
        <v>1820</v>
      </c>
      <c r="D64" s="19"/>
      <c r="E64" s="11"/>
    </row>
    <row r="65" spans="1:5" ht="36" customHeight="1" x14ac:dyDescent="0.3">
      <c r="A65" s="16">
        <v>59</v>
      </c>
      <c r="B65" s="17" t="s">
        <v>20</v>
      </c>
      <c r="C65" s="18" t="s">
        <v>1821</v>
      </c>
      <c r="D65" s="19" t="s">
        <v>1822</v>
      </c>
      <c r="E65" s="11"/>
    </row>
    <row r="66" spans="1:5" ht="36" customHeight="1" x14ac:dyDescent="0.3">
      <c r="A66" s="16">
        <v>60</v>
      </c>
      <c r="B66" s="17" t="s">
        <v>20</v>
      </c>
      <c r="C66" s="18" t="s">
        <v>1823</v>
      </c>
      <c r="D66" s="19"/>
      <c r="E66" s="11"/>
    </row>
    <row r="67" spans="1:5" ht="22.05" customHeight="1" x14ac:dyDescent="0.3">
      <c r="A67" s="31" t="s">
        <v>21</v>
      </c>
      <c r="B67" s="30"/>
      <c r="C67" s="30"/>
      <c r="D67" s="30"/>
      <c r="E67" s="30"/>
    </row>
    <row r="68" spans="1:5" ht="36" customHeight="1" x14ac:dyDescent="0.3">
      <c r="A68" s="20">
        <v>61</v>
      </c>
      <c r="B68" s="21" t="s">
        <v>22</v>
      </c>
      <c r="C68" s="22" t="s">
        <v>1824</v>
      </c>
      <c r="D68" s="23" t="s">
        <v>1825</v>
      </c>
      <c r="E68" s="11"/>
    </row>
    <row r="69" spans="1:5" ht="36" customHeight="1" x14ac:dyDescent="0.3">
      <c r="A69" s="20">
        <v>62</v>
      </c>
      <c r="B69" s="21" t="s">
        <v>22</v>
      </c>
      <c r="C69" s="22" t="s">
        <v>1826</v>
      </c>
      <c r="D69" s="23" t="e">
        <f>SUMPRODUCT(P2:P601,M2:M601)/SUM(M2:M601)</f>
        <v>#DIV/0!</v>
      </c>
      <c r="E69" s="11"/>
    </row>
    <row r="70" spans="1:5" ht="36" customHeight="1" x14ac:dyDescent="0.3">
      <c r="A70" s="20">
        <v>63</v>
      </c>
      <c r="B70" s="21" t="s">
        <v>22</v>
      </c>
      <c r="C70" s="22" t="s">
        <v>1827</v>
      </c>
      <c r="D70" s="23" t="s">
        <v>1828</v>
      </c>
      <c r="E70" s="11"/>
    </row>
    <row r="71" spans="1:5" ht="36" customHeight="1" x14ac:dyDescent="0.3">
      <c r="A71" s="20">
        <v>64</v>
      </c>
      <c r="B71" s="21" t="s">
        <v>22</v>
      </c>
      <c r="C71" s="22" t="s">
        <v>1829</v>
      </c>
      <c r="D71" s="23">
        <f>SUMPRODUCT(I2:I601*J2:J601*(1-K2:K601/100)*1.05)</f>
        <v>0</v>
      </c>
      <c r="E71" s="11"/>
    </row>
    <row r="72" spans="1:5" ht="36" customHeight="1" x14ac:dyDescent="0.3">
      <c r="A72" s="20">
        <v>65</v>
      </c>
      <c r="B72" s="21" t="s">
        <v>22</v>
      </c>
      <c r="C72" s="22" t="s">
        <v>1830</v>
      </c>
      <c r="D72" s="23" t="s">
        <v>1831</v>
      </c>
      <c r="E72" s="11"/>
    </row>
    <row r="73" spans="1:5" ht="36" customHeight="1" x14ac:dyDescent="0.3">
      <c r="A73" s="20">
        <v>66</v>
      </c>
      <c r="B73" s="21" t="s">
        <v>22</v>
      </c>
      <c r="C73" s="22" t="s">
        <v>1832</v>
      </c>
      <c r="D73" s="23"/>
      <c r="E73" s="11"/>
    </row>
    <row r="74" spans="1:5" ht="36" customHeight="1" x14ac:dyDescent="0.3">
      <c r="A74" s="20">
        <v>67</v>
      </c>
      <c r="B74" s="21" t="s">
        <v>22</v>
      </c>
      <c r="C74" s="22" t="s">
        <v>1833</v>
      </c>
      <c r="D74" s="23" t="s">
        <v>1834</v>
      </c>
      <c r="E74" s="11"/>
    </row>
    <row r="75" spans="1:5" ht="36" customHeight="1" x14ac:dyDescent="0.3">
      <c r="A75" s="20">
        <v>68</v>
      </c>
      <c r="B75" s="21" t="s">
        <v>22</v>
      </c>
      <c r="C75" s="22" t="s">
        <v>1835</v>
      </c>
      <c r="D75" s="23" t="s">
        <v>1836</v>
      </c>
      <c r="E75" s="11"/>
    </row>
    <row r="76" spans="1:5" ht="36" customHeight="1" x14ac:dyDescent="0.3">
      <c r="A76" s="20">
        <v>69</v>
      </c>
      <c r="B76" s="21" t="s">
        <v>22</v>
      </c>
      <c r="C76" s="22" t="s">
        <v>1837</v>
      </c>
      <c r="D76" s="23"/>
      <c r="E76" s="11"/>
    </row>
    <row r="77" spans="1:5" ht="36" customHeight="1" x14ac:dyDescent="0.3">
      <c r="A77" s="20">
        <v>70</v>
      </c>
      <c r="B77" s="21" t="s">
        <v>22</v>
      </c>
      <c r="C77" s="22" t="s">
        <v>1838</v>
      </c>
      <c r="D77" s="23" t="s">
        <v>1839</v>
      </c>
      <c r="E77" s="11"/>
    </row>
    <row r="78" spans="1:5" ht="36" customHeight="1" x14ac:dyDescent="0.3">
      <c r="A78" s="20">
        <v>71</v>
      </c>
      <c r="B78" s="21" t="s">
        <v>22</v>
      </c>
      <c r="C78" s="22" t="s">
        <v>1840</v>
      </c>
      <c r="D78" s="23" t="s">
        <v>1841</v>
      </c>
      <c r="E78" s="11"/>
    </row>
    <row r="79" spans="1:5" ht="36" customHeight="1" x14ac:dyDescent="0.3">
      <c r="A79" s="20">
        <v>72</v>
      </c>
      <c r="B79" s="21" t="s">
        <v>22</v>
      </c>
      <c r="C79" s="22" t="s">
        <v>1842</v>
      </c>
      <c r="D79" s="23" t="s">
        <v>1843</v>
      </c>
      <c r="E79" s="11"/>
    </row>
    <row r="80" spans="1:5" ht="36" customHeight="1" x14ac:dyDescent="0.3">
      <c r="A80" s="20">
        <v>73</v>
      </c>
      <c r="B80" s="21" t="s">
        <v>22</v>
      </c>
      <c r="C80" s="22" t="s">
        <v>1844</v>
      </c>
      <c r="D80" s="23" t="e">
        <f>CHOOSE(P1,SUM(M2:M601),SUM(O2:O601),AVERAGE(P2:P601))</f>
        <v>#VALUE!</v>
      </c>
      <c r="E80" s="11"/>
    </row>
    <row r="81" spans="1:5" ht="36" customHeight="1" x14ac:dyDescent="0.3">
      <c r="A81" s="20">
        <v>74</v>
      </c>
      <c r="B81" s="21" t="s">
        <v>22</v>
      </c>
      <c r="C81" s="22" t="s">
        <v>1845</v>
      </c>
      <c r="D81" s="23" t="s">
        <v>1846</v>
      </c>
      <c r="E81" s="11"/>
    </row>
    <row r="82" spans="1:5" ht="36" customHeight="1" x14ac:dyDescent="0.3">
      <c r="A82" s="20">
        <v>75</v>
      </c>
      <c r="B82" s="21" t="s">
        <v>22</v>
      </c>
      <c r="C82" s="22" t="s">
        <v>1847</v>
      </c>
      <c r="D82" s="23">
        <f>SUMPRODUCT(I2:I601*J2:J601*(K2:K601+5)/100) - SUMPRODUCT(I2:I601*J2:J601*(K2:K601/100))</f>
        <v>0</v>
      </c>
      <c r="E82" s="11"/>
    </row>
    <row r="83" spans="1:5" ht="36" customHeight="1" x14ac:dyDescent="0.3">
      <c r="A83" s="20">
        <v>76</v>
      </c>
      <c r="B83" s="21" t="s">
        <v>22</v>
      </c>
      <c r="C83" s="22" t="s">
        <v>1848</v>
      </c>
      <c r="D83" s="23" t="e">
        <f>MATCH(MAX(M2:M601),M2:M601,0)</f>
        <v>#N/A</v>
      </c>
      <c r="E83" s="11"/>
    </row>
    <row r="84" spans="1:5" ht="36" customHeight="1" x14ac:dyDescent="0.3">
      <c r="A84" s="20">
        <v>77</v>
      </c>
      <c r="B84" s="21" t="s">
        <v>22</v>
      </c>
      <c r="C84" s="22" t="s">
        <v>1849</v>
      </c>
      <c r="D84" s="23" t="s">
        <v>1850</v>
      </c>
      <c r="E84" s="11"/>
    </row>
    <row r="85" spans="1:5" ht="36" customHeight="1" x14ac:dyDescent="0.3">
      <c r="A85" s="20">
        <v>78</v>
      </c>
      <c r="B85" s="21" t="s">
        <v>22</v>
      </c>
      <c r="C85" s="22" t="s">
        <v>1851</v>
      </c>
      <c r="D85" s="23">
        <f>SUMPRODUCT((M2:M601&gt;10000)*(P2:P601&gt;35))</f>
        <v>0</v>
      </c>
      <c r="E85" s="11"/>
    </row>
    <row r="86" spans="1:5" ht="36" customHeight="1" x14ac:dyDescent="0.3">
      <c r="A86" s="20">
        <v>79</v>
      </c>
      <c r="B86" s="21" t="s">
        <v>22</v>
      </c>
      <c r="C86" s="22" t="s">
        <v>1852</v>
      </c>
      <c r="D86" s="23" t="s">
        <v>1853</v>
      </c>
      <c r="E86" s="11"/>
    </row>
    <row r="87" spans="1:5" ht="36" customHeight="1" x14ac:dyDescent="0.3">
      <c r="A87" s="20">
        <v>80</v>
      </c>
      <c r="B87" s="21" t="s">
        <v>22</v>
      </c>
      <c r="C87" s="22" t="s">
        <v>1854</v>
      </c>
      <c r="D87" s="23" t="s">
        <v>1855</v>
      </c>
      <c r="E87" s="11"/>
    </row>
  </sheetData>
  <mergeCells count="6">
    <mergeCell ref="A67:E67"/>
    <mergeCell ref="A4:E4"/>
    <mergeCell ref="A2:E2"/>
    <mergeCell ref="A25:E25"/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DB5_EcommerceSales</vt:lpstr>
      <vt:lpstr>Q5_EcommerceSales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SINGH</cp:lastModifiedBy>
  <dcterms:created xsi:type="dcterms:W3CDTF">2026-06-26T23:15:50Z</dcterms:created>
  <dcterms:modified xsi:type="dcterms:W3CDTF">2026-07-08T01:53:04Z</dcterms:modified>
</cp:coreProperties>
</file>