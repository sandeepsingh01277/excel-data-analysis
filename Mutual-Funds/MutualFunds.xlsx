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17bddbf6525868/Desktop/excel delta/practice/"/>
    </mc:Choice>
  </mc:AlternateContent>
  <xr:revisionPtr revIDLastSave="0" documentId="8_{E25C374C-16B8-491E-82E5-AEA59BF78C5B}" xr6:coauthVersionLast="47" xr6:coauthVersionMax="47" xr10:uidLastSave="{00000000-0000-0000-0000-000000000000}"/>
  <bookViews>
    <workbookView xWindow="-108" yWindow="-108" windowWidth="23256" windowHeight="12456" xr2:uid="{437250AE-2D4B-4CC7-B5E8-751C1C76DD37}"/>
  </bookViews>
  <sheets>
    <sheet name="DB2_MutualFunds" sheetId="1" r:id="rId1"/>
    <sheet name="Q2_MutualFunds" sheetId="2" r:id="rId2"/>
  </sheets>
  <definedNames>
    <definedName name="_xlnm._FilterDatabase" localSheetId="0" hidden="1">DB2_MutualFunds!$A$1:$O$151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E17" i="2"/>
  <c r="D18" i="2"/>
  <c r="E18" i="2"/>
  <c r="E19" i="2"/>
  <c r="D20" i="2"/>
  <c r="E20" i="2"/>
  <c r="D21" i="2"/>
  <c r="E21" i="2"/>
  <c r="D22" i="2"/>
  <c r="E22" i="2"/>
  <c r="D23" i="2"/>
  <c r="E23" i="2"/>
  <c r="D24" i="2"/>
  <c r="E24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E35" i="2" a="1"/>
  <c r="E35" i="2"/>
  <c r="D36" i="2"/>
  <c r="E36" i="2"/>
  <c r="D37" i="2"/>
  <c r="E37" i="2"/>
  <c r="D38" i="2"/>
  <c r="E38" i="2"/>
  <c r="D39" i="2"/>
  <c r="E39" i="2"/>
  <c r="E40" i="2"/>
  <c r="D42" i="2"/>
  <c r="E42" i="2"/>
  <c r="E43" i="2"/>
  <c r="D44" i="2"/>
  <c r="E44" i="2"/>
  <c r="D45" i="2"/>
  <c r="E45" i="2"/>
  <c r="D48" i="2"/>
  <c r="D49" i="2"/>
  <c r="D56" i="2"/>
  <c r="D61" i="2"/>
  <c r="D62" i="2"/>
  <c r="D65" i="2"/>
  <c r="D74" i="2"/>
  <c r="D79" i="2"/>
  <c r="D19" i="2" l="1"/>
  <c r="D8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D43" i="2"/>
  <c r="D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<sst xmlns="http://schemas.openxmlformats.org/spreadsheetml/2006/main" count="1420" uniqueCount="351">
  <si>
    <t>Active</t>
  </si>
  <si>
    <t>High</t>
  </si>
  <si>
    <t>ICICI Pru</t>
  </si>
  <si>
    <t>Sectoral - Tech</t>
  </si>
  <si>
    <t>ICICI Pru Technology Fund</t>
  </si>
  <si>
    <t>Ahmedabad</t>
  </si>
  <si>
    <t>Aakash Gupta</t>
  </si>
  <si>
    <t>INV2150</t>
  </si>
  <si>
    <t>Paused</t>
  </si>
  <si>
    <t>Low</t>
  </si>
  <si>
    <t>Kotak Mahindra</t>
  </si>
  <si>
    <t>Debt - Gilt</t>
  </si>
  <si>
    <t>Kotak Gilt Fund</t>
  </si>
  <si>
    <t>Chennai</t>
  </si>
  <si>
    <t>Zara Khan</t>
  </si>
  <si>
    <t>INV2149</t>
  </si>
  <si>
    <t>Moderate</t>
  </si>
  <si>
    <t>PPFAS</t>
  </si>
  <si>
    <t>Flexi Cap</t>
  </si>
  <si>
    <t>Parag Parikh Flexi Cap</t>
  </si>
  <si>
    <t>Hyderabad</t>
  </si>
  <si>
    <t>Yashvi Patel</t>
  </si>
  <si>
    <t>INV2148</t>
  </si>
  <si>
    <t>Mirae Asset</t>
  </si>
  <si>
    <t>Large &amp; Mid Cap</t>
  </si>
  <si>
    <t>Mirae Asset Emerging Bluechip</t>
  </si>
  <si>
    <t>Bangalore</t>
  </si>
  <si>
    <t>Xeniya Roy</t>
  </si>
  <si>
    <t>INV2147</t>
  </si>
  <si>
    <t>Stopped</t>
  </si>
  <si>
    <t>SBI Funds</t>
  </si>
  <si>
    <t>Small Cap</t>
  </si>
  <si>
    <t>SBI Small Cap Fund</t>
  </si>
  <si>
    <t>Delhi</t>
  </si>
  <si>
    <t>Waqar Ahmad</t>
  </si>
  <si>
    <t>INV2146</t>
  </si>
  <si>
    <t>HDFC AMC</t>
  </si>
  <si>
    <t>Mid Cap</t>
  </si>
  <si>
    <t>HDFC Mid-Cap Opportunities</t>
  </si>
  <si>
    <t>Pune</t>
  </si>
  <si>
    <t>Vandana Kapoor</t>
  </si>
  <si>
    <t>INV2145</t>
  </si>
  <si>
    <t>Axis AMC</t>
  </si>
  <si>
    <t>Large Cap</t>
  </si>
  <si>
    <t>Axis Bluechip Fund</t>
  </si>
  <si>
    <t>Mumbai</t>
  </si>
  <si>
    <t>Uday Shetty</t>
  </si>
  <si>
    <t>INV2144</t>
  </si>
  <si>
    <t>Nippon India</t>
  </si>
  <si>
    <t>ETF - Gold</t>
  </si>
  <si>
    <t>Nippon India Gold ETF</t>
  </si>
  <si>
    <t>Kolkata</t>
  </si>
  <si>
    <t>Tara Pillai</t>
  </si>
  <si>
    <t>INV2143</t>
  </si>
  <si>
    <t>Sameer Joshi</t>
  </si>
  <si>
    <t>INV2142</t>
  </si>
  <si>
    <t>Renu Saxena</t>
  </si>
  <si>
    <t>INV2141</t>
  </si>
  <si>
    <t>Aditya Birla</t>
  </si>
  <si>
    <t>INV2140</t>
  </si>
  <si>
    <t>Jyoti Rao</t>
  </si>
  <si>
    <t>INV2139</t>
  </si>
  <si>
    <t>Ishaan Kumar</t>
  </si>
  <si>
    <t>INV2138</t>
  </si>
  <si>
    <t>Heena Desai</t>
  </si>
  <si>
    <t>INV2137</t>
  </si>
  <si>
    <t>Gaurav Singh</t>
  </si>
  <si>
    <t>INV2136</t>
  </si>
  <si>
    <t>Farida Iyer</t>
  </si>
  <si>
    <t>INV2135</t>
  </si>
  <si>
    <t>Eshan Verma</t>
  </si>
  <si>
    <t>INV2134</t>
  </si>
  <si>
    <t>Diya Sharma</t>
  </si>
  <si>
    <t>INV2133</t>
  </si>
  <si>
    <t>Chetan Mehta</t>
  </si>
  <si>
    <t>INV2132</t>
  </si>
  <si>
    <t>Bhavna Nair</t>
  </si>
  <si>
    <t>INV2131</t>
  </si>
  <si>
    <t>INV2130</t>
  </si>
  <si>
    <t>INV2129</t>
  </si>
  <si>
    <t>INV2128</t>
  </si>
  <si>
    <t>INV2127</t>
  </si>
  <si>
    <t>INV2126</t>
  </si>
  <si>
    <t>INV2125</t>
  </si>
  <si>
    <t>INV2124</t>
  </si>
  <si>
    <t>INV2123</t>
  </si>
  <si>
    <t>INV2122</t>
  </si>
  <si>
    <t>INV2121</t>
  </si>
  <si>
    <t>INV2120</t>
  </si>
  <si>
    <t>INV2119</t>
  </si>
  <si>
    <t>INV2118</t>
  </si>
  <si>
    <t>INV2117</t>
  </si>
  <si>
    <t>INV2116</t>
  </si>
  <si>
    <t>INV2115</t>
  </si>
  <si>
    <t>INV2114</t>
  </si>
  <si>
    <t>INV2113</t>
  </si>
  <si>
    <t>INV2112</t>
  </si>
  <si>
    <t>INV2111</t>
  </si>
  <si>
    <t>INV2110</t>
  </si>
  <si>
    <t>INV2109</t>
  </si>
  <si>
    <t>INV2108</t>
  </si>
  <si>
    <t>INV2107</t>
  </si>
  <si>
    <t>INV2106</t>
  </si>
  <si>
    <t>INV2105</t>
  </si>
  <si>
    <t>INV2104</t>
  </si>
  <si>
    <t>INV2103</t>
  </si>
  <si>
    <t>INV2102</t>
  </si>
  <si>
    <t>INV2101</t>
  </si>
  <si>
    <t>INV2100</t>
  </si>
  <si>
    <t>INV2099</t>
  </si>
  <si>
    <t>INV2098</t>
  </si>
  <si>
    <t>INV2097</t>
  </si>
  <si>
    <t>INV2096</t>
  </si>
  <si>
    <t>INV2095</t>
  </si>
  <si>
    <t>INV2094</t>
  </si>
  <si>
    <t>INV2093</t>
  </si>
  <si>
    <t>INV2092</t>
  </si>
  <si>
    <t>INV2091</t>
  </si>
  <si>
    <t>INV2090</t>
  </si>
  <si>
    <t>INV2089</t>
  </si>
  <si>
    <t>INV2088</t>
  </si>
  <si>
    <t>INV2087</t>
  </si>
  <si>
    <t>INV2086</t>
  </si>
  <si>
    <t>INV2085</t>
  </si>
  <si>
    <t>INV2084</t>
  </si>
  <si>
    <t>INV2083</t>
  </si>
  <si>
    <t>INV2082</t>
  </si>
  <si>
    <t>INV2081</t>
  </si>
  <si>
    <t>INV2080</t>
  </si>
  <si>
    <t>INV2079</t>
  </si>
  <si>
    <t>INV2078</t>
  </si>
  <si>
    <t>INV2077</t>
  </si>
  <si>
    <t>INV2076</t>
  </si>
  <si>
    <t>INV2075</t>
  </si>
  <si>
    <t>INV2074</t>
  </si>
  <si>
    <t>INV2073</t>
  </si>
  <si>
    <t>INV2072</t>
  </si>
  <si>
    <t>INV2071</t>
  </si>
  <si>
    <t>INV2070</t>
  </si>
  <si>
    <t>INV2069</t>
  </si>
  <si>
    <t>INV2068</t>
  </si>
  <si>
    <t>INV2067</t>
  </si>
  <si>
    <t>INV2066</t>
  </si>
  <si>
    <t>INV2065</t>
  </si>
  <si>
    <t>INV2064</t>
  </si>
  <si>
    <t>INV2063</t>
  </si>
  <si>
    <t>INV2062</t>
  </si>
  <si>
    <t>INV2061</t>
  </si>
  <si>
    <t>INV2060</t>
  </si>
  <si>
    <t>INV2059</t>
  </si>
  <si>
    <t>INV2058</t>
  </si>
  <si>
    <t>INV2057</t>
  </si>
  <si>
    <t>INV2056</t>
  </si>
  <si>
    <t>INV2055</t>
  </si>
  <si>
    <t>INV2054</t>
  </si>
  <si>
    <t>INV2053</t>
  </si>
  <si>
    <t>INV2052</t>
  </si>
  <si>
    <t>INV2051</t>
  </si>
  <si>
    <t>INV2050</t>
  </si>
  <si>
    <t>INV2049</t>
  </si>
  <si>
    <t>INV2048</t>
  </si>
  <si>
    <t>INV2047</t>
  </si>
  <si>
    <t>INV2046</t>
  </si>
  <si>
    <t>INV2045</t>
  </si>
  <si>
    <t>INV2044</t>
  </si>
  <si>
    <t>INV2043</t>
  </si>
  <si>
    <t>INV2042</t>
  </si>
  <si>
    <t>INV2041</t>
  </si>
  <si>
    <t>INV2040</t>
  </si>
  <si>
    <t>INV2039</t>
  </si>
  <si>
    <t>INV2038</t>
  </si>
  <si>
    <t>INV2037</t>
  </si>
  <si>
    <t>INV2036</t>
  </si>
  <si>
    <t>INV2035</t>
  </si>
  <si>
    <t>INV2034</t>
  </si>
  <si>
    <t>INV2033</t>
  </si>
  <si>
    <t>INV2032</t>
  </si>
  <si>
    <t>INV2031</t>
  </si>
  <si>
    <t>INV2030</t>
  </si>
  <si>
    <t>INV2029</t>
  </si>
  <si>
    <t>INV2028</t>
  </si>
  <si>
    <t>INV2027</t>
  </si>
  <si>
    <t>INV2026</t>
  </si>
  <si>
    <t>INV2025</t>
  </si>
  <si>
    <t>INV2024</t>
  </si>
  <si>
    <t>INV2023</t>
  </si>
  <si>
    <t>INV2022</t>
  </si>
  <si>
    <t>INV2021</t>
  </si>
  <si>
    <t>INV2020</t>
  </si>
  <si>
    <t>INV2019</t>
  </si>
  <si>
    <t>INV2018</t>
  </si>
  <si>
    <t>INV2017</t>
  </si>
  <si>
    <t>INV2016</t>
  </si>
  <si>
    <t>INV2015</t>
  </si>
  <si>
    <t>INV2014</t>
  </si>
  <si>
    <t>INV2013</t>
  </si>
  <si>
    <t>INV2012</t>
  </si>
  <si>
    <t>INV2011</t>
  </si>
  <si>
    <t>INV2010</t>
  </si>
  <si>
    <t>INV2009</t>
  </si>
  <si>
    <t>INV2008</t>
  </si>
  <si>
    <t>INV2007</t>
  </si>
  <si>
    <t>INV2006</t>
  </si>
  <si>
    <t>INV2005</t>
  </si>
  <si>
    <t>INV2004</t>
  </si>
  <si>
    <t>INV2003</t>
  </si>
  <si>
    <t>INV2002</t>
  </si>
  <si>
    <t>INV2001</t>
  </si>
  <si>
    <t>rank</t>
  </si>
  <si>
    <t>SIP_Status</t>
  </si>
  <si>
    <t>Risk_Level</t>
  </si>
  <si>
    <t>Fund_House</t>
  </si>
  <si>
    <t>Investment_Date</t>
  </si>
  <si>
    <t>Returns_Pct</t>
  </si>
  <si>
    <t>Current_Value</t>
  </si>
  <si>
    <t>Invested_Amount</t>
  </si>
  <si>
    <t>NAV</t>
  </si>
  <si>
    <t>Units_Held</t>
  </si>
  <si>
    <t>Fund_Category</t>
  </si>
  <si>
    <t>Fund_Name</t>
  </si>
  <si>
    <t>City</t>
  </si>
  <si>
    <t>Age</t>
  </si>
  <si>
    <t>InvestorName</t>
  </si>
  <si>
    <t>InvestorID</t>
  </si>
  <si>
    <t>Page Layout → Print Area → Set Print Area (A:K) → Print Titles → Row 1 to repeat</t>
  </si>
  <si>
    <t>Add a print area covering only columns A through K, with headers repeating on each page.</t>
  </si>
  <si>
    <t>Hard</t>
  </si>
  <si>
    <t>7 XLOOKUP formulas all referencing one InvestorID input cell</t>
  </si>
  <si>
    <t>Build complete investor scorecard: for any InvestorID you type, show name, fund, invested, current, gain/loss, return%, tenure.</t>
  </si>
  <si>
    <t>3 COUNTIF formulas / total count, formatted as %</t>
  </si>
  <si>
    <t>Calculate portfolio diversification: what % of investors are in each risk level?</t>
  </si>
  <si>
    <t>Formulas → Name Manager → New → CurrentValue = DB2_MutualFunds!$J$2:$J$151</t>
  </si>
  <si>
    <t>Create a named range for Current_Value column. Use it in all formulas instead of J2:J151.</t>
  </si>
  <si>
    <t>Select I and K columns → Insert → Scatter Plot → Add Data Labels</t>
  </si>
  <si>
    <t>Create a scatter plot: X=Invested_Amount, Y=Returns_Pct — label each point with Fund_Category.</t>
  </si>
  <si>
    <t>Use MATCH with exact match (0) to find row of investor with max returns.</t>
  </si>
  <si>
    <t>Use CHOOSE with a number (1=SUM, 2=AVG, 3=COUNT) to switch metric type in a dashboard cell.</t>
  </si>
  <si>
    <t>Insert → Sparklines → Line → pick a 3-column helper data range</t>
  </si>
  <si>
    <t>Create sparklines for each investor's 3-month simulated NAV trend in a helper column.</t>
  </si>
  <si>
    <t>Use INDIRECT to reference a dynamic sheet — if A1 says 'DB2_MutualFunds', pull sum from it.</t>
  </si>
  <si>
    <t>Ctrl+A → Format Cells → Uncheck Locked → then select col I → Check Locked → Protect Sheet</t>
  </si>
  <si>
    <t>Protect specific cells: lock the Invested_Amount column (I) so it cannot be edited.</t>
  </si>
  <si>
    <t>PivotTable: Fund_Category in Rows, SIP_Status in Columns, Returns_Pct (AVG) in Values</t>
  </si>
  <si>
    <t>Create a two-way PivotTable: Fund_Category (rows) × SIP_Status (columns), values = AVG Returns_Pct.</t>
  </si>
  <si>
    <t>8 city AVERAGEIF formulas → then MAX and INDEX-MATCH to find winning city</t>
  </si>
  <si>
    <t>Find which city has the highest average Returns_Pct — use AVERAGEIF for each city.</t>
  </si>
  <si>
    <t>Years = DATEDIF(L2,TODAY(),"d")/365. Formula: =(J2/I2)^(1/(DATEDIF(L2,TODAY(),"d")/365))-1</t>
  </si>
  <si>
    <t>Calculate the XIRR-equivalent manually: ((Current/Invested)^(1/years))-1 for each investor.</t>
  </si>
  <si>
    <t>Use LARGE to find the 5th highest Current_Value.</t>
  </si>
  <si>
    <t>CF → Icon Sets → 3 Arrows → set thresholds at 15 and 0</t>
  </si>
  <si>
    <t>Create conditional formatting icon set on Returns_Pct: up arrow&gt;15%, sideways 0-15%, down arrow&lt;0%.</t>
  </si>
  <si>
    <t>Sort by date first, then =SUMIFS(J$2:J2,L$2:L2,"&lt;="&amp;L2)  drag down</t>
  </si>
  <si>
    <t>Build a running total of Current_Value sorted by Investment_Date using SUMIFS.</t>
  </si>
  <si>
    <t>6 SUMIF/COUNTIF/AVERAGEIF/MAXIFS/MINIFS formulas all pointing to one reference cell</t>
  </si>
  <si>
    <t>Create a dynamic report: when you type a Fund_House name in a cell, all 6 metrics (sum invested, total current, avg return, count, max return, min return) auto-update.</t>
  </si>
  <si>
    <t>Normalize each: (val-MIN)/(MAX-MIN), then weighted sum. Advanced multi-step formula</t>
  </si>
  <si>
    <t>Calculate a portfolio health score for each investor: weight Returns 50%, Units 30%, Age 20% (normalize first).</t>
  </si>
  <si>
    <t>MINIFS: =MINIFS(K2:K151,I2:I151,"&gt;100000") then INDEX-MATCH back to name</t>
  </si>
  <si>
    <t>Find the investor with the MINIMUM returns among those who invested &gt; 100000.</t>
  </si>
  <si>
    <t>Build a 'what-if' table: if NAV increases by 10%, what would the new Current_Value be? Show in a helper column.</t>
  </si>
  <si>
    <t xml:space="preserve">  ▶  HARD QUESTIONS</t>
  </si>
  <si>
    <t>Use NETWORKDAYS to find working days elapsed since Investment_Date.</t>
  </si>
  <si>
    <t>Intermediate</t>
  </si>
  <si>
    <t>Use FIND and MID to extract last name from InvestorName.</t>
  </si>
  <si>
    <t>Copy column A → Data → Remove Duplicates — check if count changes</t>
  </si>
  <si>
    <t>Use Remove Duplicates on InvestorID to find if any duplicates exist.</t>
  </si>
  <si>
    <t>For each category: =SUMIF(F$2:F$151,F2,J$2:J$151)/SUM(J$2:J$151) format as %</t>
  </si>
  <si>
    <t>Calculate what % of total current portfolio each fund category represents.</t>
  </si>
  <si>
    <t>Use MAXIFS: highest Returns_Pct for each SIP_Status type.</t>
  </si>
  <si>
    <t>Use COUNTIFS to count investors with Age&lt;35 AND Returns_Pct&gt;15 AND Risk_Level='High'.</t>
  </si>
  <si>
    <t>Build SUMIF summary first → Insert Column Chart</t>
  </si>
  <si>
    <t>Create a bar chart showing total Invested_Amount by Fund_House.</t>
  </si>
  <si>
    <t>Click B2 → View → Freeze Panes</t>
  </si>
  <si>
    <t>Freeze panes so that row 1 (headers) and column A (InvestorID) stay visible.</t>
  </si>
  <si>
    <t>Select N2:N151 → Data Validation → List → Low,Moderate,High</t>
  </si>
  <si>
    <t>Use Data Validation to restrict Risk_Level to only: Low, Moderate, High.</t>
  </si>
  <si>
    <t>Data → Sort → 2 levels: Fund_Category A-Z, then Returns_Pct Z-A</t>
  </si>
  <si>
    <t>Use Advanced Sort: sort by Fund_Category A-Z, then by Returns_Pct descending.</t>
  </si>
  <si>
    <t>Use SUMIFS with date range: total Invested_Amount for investments in 2021.</t>
  </si>
  <si>
    <t>Use DATEDIF to calculate investment tenure in months from Investment_Date to today.</t>
  </si>
  <si>
    <t>Copy B column → Text to Columns → Delimited → Space</t>
  </si>
  <si>
    <t>Apply Text to Columns to split InvestorName into First and Last name.</t>
  </si>
  <si>
    <t>New column: =J2-I2  drag down</t>
  </si>
  <si>
    <t>Calculate profit/loss amount for each row: Current_Value - Invested_Amount in a new column.</t>
  </si>
  <si>
    <t>Insert PivotTable → Fund_House rows → I (SUM) + K (AVG) in values</t>
  </si>
  <si>
    <t>Create PivotTable: Fund_House in rows, SUM Invested_Amount and AVG Returns_Pct.</t>
  </si>
  <si>
    <t>Filter SIP_Status=Active, then =SUBTOTAL(1,K2:K151)</t>
  </si>
  <si>
    <t>Use SUBTOTAL to get average Returns_Pct of visible rows after filtering Active SIP.</t>
  </si>
  <si>
    <t>Create 2-row table: row1=category names, row2=risk. =HLOOKUP(F2, transpose_range, 2, 0)</t>
  </si>
  <si>
    <t>Use HLOOKUP on a transposed risk table to get risk level by category.</t>
  </si>
  <si>
    <t>Create nested IF for Age group: &lt;30='Young', 30-49='Mid', &gt;=50='Senior'.</t>
  </si>
  <si>
    <t>Use INDEX-MATCH to find which investor has the highest Returns_Pct.</t>
  </si>
  <si>
    <t>Use SUMIF for each category. 8 categories × 2 metrics = 16 SUMIF cells</t>
  </si>
  <si>
    <t>Create a summary table: for each Fund_Category, show total Invested_Amount and total Current_Value.</t>
  </si>
  <si>
    <t xml:space="preserve">  ▶  INTERMEDIATE QUESTIONS</t>
  </si>
  <si>
    <t>Extract first name from InvestorName using LEFT + FIND.</t>
  </si>
  <si>
    <t>Medium</t>
  </si>
  <si>
    <t>Use FIND to locate first space in InvestorName (B2) for name splitting.</t>
  </si>
  <si>
    <t>Count investors from Pune with Returns_Pct &gt; 15.</t>
  </si>
  <si>
    <t>Use SUMIFS: total Invested_Amount for 'HDFC AMC' AND Risk_Level = 'Moderate'.</t>
  </si>
  <si>
    <t>conditional formating-&gt;highlight cell rule-&gt;less then 0 then red -&gt;greater then 20 then green</t>
  </si>
  <si>
    <t>Two CF rules: &lt;0 = red fill, &gt;20 = green fill on column K</t>
  </si>
  <si>
    <t>Add Conditional Formatting: highlight Returns_Pct in red if negative, green if &gt;20.</t>
  </si>
  <si>
    <t>Use RANK() to rank each investor by Current_Value (1 = highest).</t>
  </si>
  <si>
    <t>Use TEXT() to format Investment_Date as 'Month YYYY' (e.g., 'January 2022').</t>
  </si>
  <si>
    <t>Find AVERAGE Invested_Amount for investors aged &gt; 40.</t>
  </si>
  <si>
    <t>Find MAX Current_Value for investors from Delhi.</t>
  </si>
  <si>
    <t>Use IFERROR with VLOOKUP for 'INV9999' to show 'ID Not Found'.</t>
  </si>
  <si>
    <t>Use SUMPRODUCT to calculate total portfolio gain (Current_Value - Invested_Amount).</t>
  </si>
  <si>
    <t>sorted</t>
  </si>
  <si>
    <t>Data → Filter → Fund_Category → Flexi Cap</t>
  </si>
  <si>
    <t>Filter to show only rows where Fund_Category = 'Flexi Cap'.</t>
  </si>
  <si>
    <t>Data → Sort → Column K → Largest to Smallest</t>
  </si>
  <si>
    <t>Sort the entire table by Returns_Pct, highest first.</t>
  </si>
  <si>
    <t>Use CONCATENATE to combine InvestorName and City: 'Renu Saxena (Pune)'.</t>
  </si>
  <si>
    <t>Average Returns_Pct for 'Mid Cap' category only.</t>
  </si>
  <si>
    <t>Use IF to classify returns: &gt;20 = 'Excellent', 0-20 = 'Good', &lt;0 = 'Loss'.</t>
  </si>
  <si>
    <t>Use XLOOKUP to find Fund_Name for investor 'INV2075'.</t>
  </si>
  <si>
    <t>Use VLOOKUP to find Current_Value for InvestorID 'INV2050'. (Column 10)</t>
  </si>
  <si>
    <t>Count investors with Returns_Pct &gt; 20%.</t>
  </si>
  <si>
    <t>Find total Current_Value for 'High' risk AND SIP_Status = 'Active'.</t>
  </si>
  <si>
    <t xml:space="preserve">  ▶  MEDIUM QUESTIONS</t>
  </si>
  <si>
    <t>Count investors with Risk_Level = 'High'.</t>
  </si>
  <si>
    <t>Basic</t>
  </si>
  <si>
    <t>Use TODAY() and subtract Investment_Date in L2 to find days since investment.</t>
  </si>
  <si>
    <t>Use LEFT() to get first 4 chars of InvestorID in A2.</t>
  </si>
  <si>
    <t>Use LEN() to find character length of Fund_Name in E2.</t>
  </si>
  <si>
    <t>Use UPPER() on Fund_House in M2.</t>
  </si>
  <si>
    <t>Use COUNTA to count how many Fund_Name entries are non-empty.</t>
  </si>
  <si>
    <t>Find total Invested_Amount for investors from Bangalore.</t>
  </si>
  <si>
    <t>How many investors are from Mumbai?</t>
  </si>
  <si>
    <t>Use MIN to find the lowest Invested_Amount.</t>
  </si>
  <si>
    <t>Use MAX to find the highest Current_Value.</t>
  </si>
  <si>
    <t>Find the sum of Invested_Amount for 'Large Cap' category.</t>
  </si>
  <si>
    <t>How many investors are in the 'Small Cap' fund category?</t>
  </si>
  <si>
    <t>Find the average Units_Held.</t>
  </si>
  <si>
    <t>What is the average NAV across all fund investments?</t>
  </si>
  <si>
    <t>Count how many investors have SIP_Status = 'Active'.</t>
  </si>
  <si>
    <t>What is the MIN Returns_Pct (might be negative)?</t>
  </si>
  <si>
    <t>What is the MAX Returns_Pct in the dataset?</t>
  </si>
  <si>
    <t>Find total Current_Value across all investors.</t>
  </si>
  <si>
    <t>Find total Invested_Amount across all investors.</t>
  </si>
  <si>
    <t>Count total investor records in this database.</t>
  </si>
  <si>
    <t xml:space="preserve">  ▶  BASIC QUESTIONS</t>
  </si>
  <si>
    <t>Your Answer (type formula here)</t>
  </si>
  <si>
    <t>Hint / Formula Guide</t>
  </si>
  <si>
    <t>Question</t>
  </si>
  <si>
    <t>Level</t>
  </si>
  <si>
    <t>#</t>
  </si>
  <si>
    <t>🟢 Basic = Green   🟡 Medium = Yellow   🟠 Intermediate = Orange   🔴 Hard = Red   |   Write your formula in Column E (Your Answer)</t>
  </si>
  <si>
    <t>📝 Practice Questions — DB2_MutualFunds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</si>
</sst>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dd\-mmm\-yyyy"/>
  </numFmts>
  <fonts count="9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i/>
      <sz val="9"/>
      <color rgb="FF595959"/>
      <name val="Calibri"/>
    </font>
    <font>
      <b/>
      <sz val="10"/>
      <color rgb="FF000000"/>
      <name val="Calibri"/>
    </font>
    <font>
      <b/>
      <sz val="10"/>
      <name val="Calibri"/>
    </font>
    <font>
      <i/>
      <sz val="9"/>
      <color rgb="FF444444"/>
      <name val="Calibri"/>
    </font>
    <font>
      <b/>
      <sz val="14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632523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FFF2CC"/>
      </patternFill>
    </fill>
    <fill>
      <patternFill patternType="solid">
        <fgColor rgb="FF7D4E1D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2" borderId="2" xfId="0" applyFill="1" applyBorder="1"/>
    <xf numFmtId="0" fontId="4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/>
    <xf numFmtId="0" fontId="2" fillId="6" borderId="0" xfId="0" applyFont="1" applyFill="1" applyAlignment="1">
      <alignment vertical="center"/>
    </xf>
    <xf numFmtId="0" fontId="4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2" fillId="8" borderId="0" xfId="0" applyFont="1" applyFill="1" applyAlignment="1">
      <alignment vertical="center"/>
    </xf>
    <xf numFmtId="0" fontId="4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11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2" fontId="0" fillId="2" borderId="2" xfId="0" applyNumberFormat="1" applyFill="1" applyBorder="1"/>
    <xf numFmtId="4" fontId="0" fillId="2" borderId="2" xfId="0" applyNumberFormat="1" applyFill="1" applyBorder="1"/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5975-46BD-4E2B-BAF5-4BE65D3B597C}">
  <dimension ref="A1:R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2" customWidth="1"/>
    <col min="2" max="2" width="20" customWidth="1"/>
    <col min="3" max="3" width="7" customWidth="1"/>
    <col min="4" max="4" width="14" customWidth="1"/>
    <col min="5" max="5" width="28" customWidth="1"/>
    <col min="6" max="6" width="18" customWidth="1"/>
    <col min="7" max="7" width="12" customWidth="1"/>
    <col min="8" max="8" width="10" customWidth="1"/>
    <col min="9" max="9" width="16" customWidth="1"/>
    <col min="10" max="10" width="14" customWidth="1"/>
    <col min="11" max="11" width="12" customWidth="1"/>
    <col min="12" max="12" width="18.6640625" style="1" customWidth="1"/>
    <col min="13" max="13" width="18" customWidth="1"/>
    <col min="14" max="14" width="12" customWidth="1"/>
    <col min="15" max="15" width="11" customWidth="1"/>
  </cols>
  <sheetData>
    <row r="1" spans="1:18" ht="28.05" customHeight="1" x14ac:dyDescent="0.3">
      <c r="A1" s="13" t="s">
        <v>223</v>
      </c>
      <c r="B1" s="13" t="s">
        <v>222</v>
      </c>
      <c r="C1" s="13" t="s">
        <v>221</v>
      </c>
      <c r="D1" s="13" t="s">
        <v>220</v>
      </c>
      <c r="E1" s="13" t="s">
        <v>219</v>
      </c>
      <c r="F1" s="13" t="s">
        <v>218</v>
      </c>
      <c r="G1" s="13" t="s">
        <v>217</v>
      </c>
      <c r="H1" s="13" t="s">
        <v>216</v>
      </c>
      <c r="I1" s="13" t="s">
        <v>215</v>
      </c>
      <c r="J1" s="13" t="s">
        <v>214</v>
      </c>
      <c r="K1" s="15" t="s">
        <v>213</v>
      </c>
      <c r="L1" s="14" t="s">
        <v>212</v>
      </c>
      <c r="M1" s="13" t="s">
        <v>211</v>
      </c>
      <c r="N1" s="13" t="s">
        <v>210</v>
      </c>
      <c r="O1" s="13" t="s">
        <v>209</v>
      </c>
      <c r="R1" s="13" t="s">
        <v>208</v>
      </c>
    </row>
    <row r="2" spans="1:18" ht="18" customHeight="1" x14ac:dyDescent="0.3">
      <c r="A2" s="11" t="s">
        <v>207</v>
      </c>
      <c r="B2" s="7" t="s">
        <v>56</v>
      </c>
      <c r="C2" s="11">
        <v>47</v>
      </c>
      <c r="D2" s="7" t="s">
        <v>39</v>
      </c>
      <c r="E2" s="7" t="s">
        <v>38</v>
      </c>
      <c r="F2" s="7" t="s">
        <v>37</v>
      </c>
      <c r="G2" s="11">
        <v>1934.73</v>
      </c>
      <c r="H2" s="11">
        <v>487.56</v>
      </c>
      <c r="I2" s="10">
        <v>118980.05</v>
      </c>
      <c r="J2" s="10">
        <v>122535.17</v>
      </c>
      <c r="K2" s="9">
        <v>2.99</v>
      </c>
      <c r="L2" s="8">
        <v>44008</v>
      </c>
      <c r="M2" s="7" t="s">
        <v>36</v>
      </c>
      <c r="N2" s="7" t="s">
        <v>16</v>
      </c>
      <c r="O2" s="7" t="s">
        <v>8</v>
      </c>
      <c r="R2">
        <f>RANK(J2,$J$2:$J$151,0)</f>
        <v>127</v>
      </c>
    </row>
    <row r="3" spans="1:18" ht="18" customHeight="1" x14ac:dyDescent="0.3">
      <c r="A3" s="6" t="s">
        <v>206</v>
      </c>
      <c r="B3" s="2" t="s">
        <v>54</v>
      </c>
      <c r="C3" s="6">
        <v>38</v>
      </c>
      <c r="D3" s="2" t="s">
        <v>33</v>
      </c>
      <c r="E3" s="2" t="s">
        <v>32</v>
      </c>
      <c r="F3" s="2" t="s">
        <v>31</v>
      </c>
      <c r="G3" s="6">
        <v>3658.7</v>
      </c>
      <c r="H3" s="6">
        <v>434.03</v>
      </c>
      <c r="I3" s="5">
        <v>351741.66</v>
      </c>
      <c r="J3" s="5">
        <v>341639.29</v>
      </c>
      <c r="K3" s="4">
        <v>-2.87</v>
      </c>
      <c r="L3" s="3">
        <v>45108</v>
      </c>
      <c r="M3" s="2" t="s">
        <v>30</v>
      </c>
      <c r="N3" s="2" t="s">
        <v>1</v>
      </c>
      <c r="O3" s="2" t="s">
        <v>29</v>
      </c>
      <c r="R3">
        <f>RANK(J3,$J$2:$J$151,0)</f>
        <v>77</v>
      </c>
    </row>
    <row r="4" spans="1:18" ht="18" customHeight="1" x14ac:dyDescent="0.3">
      <c r="A4" s="11" t="s">
        <v>205</v>
      </c>
      <c r="B4" s="7" t="s">
        <v>52</v>
      </c>
      <c r="C4" s="11">
        <v>53</v>
      </c>
      <c r="D4" s="7" t="s">
        <v>26</v>
      </c>
      <c r="E4" s="7" t="s">
        <v>25</v>
      </c>
      <c r="F4" s="7" t="s">
        <v>24</v>
      </c>
      <c r="G4" s="11">
        <v>1037.3699999999999</v>
      </c>
      <c r="H4" s="11">
        <v>583.34</v>
      </c>
      <c r="I4" s="10">
        <v>296261.55</v>
      </c>
      <c r="J4" s="10">
        <v>568830.74</v>
      </c>
      <c r="K4" s="9">
        <v>92</v>
      </c>
      <c r="L4" s="8">
        <v>44596</v>
      </c>
      <c r="M4" s="7" t="s">
        <v>23</v>
      </c>
      <c r="N4" s="7" t="s">
        <v>16</v>
      </c>
      <c r="O4" s="7" t="s">
        <v>0</v>
      </c>
      <c r="R4">
        <f>RANK(J4,$J$2:$J$151,0)</f>
        <v>32</v>
      </c>
    </row>
    <row r="5" spans="1:18" ht="18" customHeight="1" x14ac:dyDescent="0.3">
      <c r="A5" s="6" t="s">
        <v>204</v>
      </c>
      <c r="B5" s="2" t="s">
        <v>46</v>
      </c>
      <c r="C5" s="6">
        <v>46</v>
      </c>
      <c r="D5" s="2" t="s">
        <v>20</v>
      </c>
      <c r="E5" s="2" t="s">
        <v>19</v>
      </c>
      <c r="F5" s="2" t="s">
        <v>18</v>
      </c>
      <c r="G5" s="6">
        <v>4314.3900000000003</v>
      </c>
      <c r="H5" s="6">
        <v>185.82</v>
      </c>
      <c r="I5" s="5">
        <v>233434.23</v>
      </c>
      <c r="J5" s="5">
        <v>254828.78</v>
      </c>
      <c r="K5" s="4">
        <v>9.17</v>
      </c>
      <c r="L5" s="12">
        <v>44992</v>
      </c>
      <c r="M5" s="2" t="s">
        <v>17</v>
      </c>
      <c r="N5" s="2" t="s">
        <v>16</v>
      </c>
      <c r="O5" s="2" t="s">
        <v>0</v>
      </c>
      <c r="R5">
        <f>RANK(J5,$J$2:$J$151,0)</f>
        <v>95</v>
      </c>
    </row>
    <row r="6" spans="1:18" ht="18" customHeight="1" x14ac:dyDescent="0.3">
      <c r="A6" s="11" t="s">
        <v>203</v>
      </c>
      <c r="B6" s="7" t="s">
        <v>40</v>
      </c>
      <c r="C6" s="11">
        <v>43</v>
      </c>
      <c r="D6" s="7" t="s">
        <v>13</v>
      </c>
      <c r="E6" s="7" t="s">
        <v>12</v>
      </c>
      <c r="F6" s="7" t="s">
        <v>11</v>
      </c>
      <c r="G6" s="11">
        <v>460.68</v>
      </c>
      <c r="H6" s="11">
        <v>579.01</v>
      </c>
      <c r="I6" s="10">
        <v>340301.87</v>
      </c>
      <c r="J6" s="10">
        <v>329593.59000000003</v>
      </c>
      <c r="K6" s="9">
        <v>-3.15</v>
      </c>
      <c r="L6" s="8">
        <v>44478</v>
      </c>
      <c r="M6" s="7" t="s">
        <v>10</v>
      </c>
      <c r="N6" s="7" t="s">
        <v>9</v>
      </c>
      <c r="O6" s="7" t="s">
        <v>8</v>
      </c>
      <c r="R6">
        <f>RANK(J6,$J$2:$J$151,0)</f>
        <v>80</v>
      </c>
    </row>
    <row r="7" spans="1:18" ht="18" customHeight="1" x14ac:dyDescent="0.3">
      <c r="A7" s="6" t="s">
        <v>202</v>
      </c>
      <c r="B7" s="2" t="s">
        <v>34</v>
      </c>
      <c r="C7" s="6">
        <v>47</v>
      </c>
      <c r="D7" s="2" t="s">
        <v>5</v>
      </c>
      <c r="E7" s="2" t="s">
        <v>4</v>
      </c>
      <c r="F7" s="2" t="s">
        <v>3</v>
      </c>
      <c r="G7" s="6">
        <v>261.12</v>
      </c>
      <c r="H7" s="6">
        <v>455.2</v>
      </c>
      <c r="I7" s="5">
        <v>215476.97</v>
      </c>
      <c r="J7" s="5">
        <v>288613.62</v>
      </c>
      <c r="K7" s="4">
        <v>33.94</v>
      </c>
      <c r="L7" s="3">
        <v>44925</v>
      </c>
      <c r="M7" s="2" t="s">
        <v>2</v>
      </c>
      <c r="N7" s="2" t="s">
        <v>1</v>
      </c>
      <c r="O7" s="2" t="s">
        <v>0</v>
      </c>
      <c r="R7">
        <f>RANK(J7,$J$2:$J$151,0)</f>
        <v>85</v>
      </c>
    </row>
    <row r="8" spans="1:18" ht="18" customHeight="1" x14ac:dyDescent="0.3">
      <c r="A8" s="11" t="s">
        <v>201</v>
      </c>
      <c r="B8" s="7" t="s">
        <v>27</v>
      </c>
      <c r="C8" s="11">
        <v>27</v>
      </c>
      <c r="D8" s="7" t="s">
        <v>51</v>
      </c>
      <c r="E8" s="7" t="s">
        <v>50</v>
      </c>
      <c r="F8" s="7" t="s">
        <v>49</v>
      </c>
      <c r="G8" s="11">
        <v>2337.33</v>
      </c>
      <c r="H8" s="11">
        <v>722.19</v>
      </c>
      <c r="I8" s="10">
        <v>304727.02</v>
      </c>
      <c r="J8" s="10">
        <v>660819.14</v>
      </c>
      <c r="K8" s="9">
        <v>116.86</v>
      </c>
      <c r="L8" s="8">
        <v>44563</v>
      </c>
      <c r="M8" s="7" t="s">
        <v>48</v>
      </c>
      <c r="N8" s="7" t="s">
        <v>16</v>
      </c>
      <c r="O8" s="7" t="s">
        <v>8</v>
      </c>
      <c r="R8">
        <f>RANK(J8,$J$2:$J$151,0)</f>
        <v>26</v>
      </c>
    </row>
    <row r="9" spans="1:18" ht="18" customHeight="1" x14ac:dyDescent="0.3">
      <c r="A9" s="6" t="s">
        <v>200</v>
      </c>
      <c r="B9" s="2" t="s">
        <v>21</v>
      </c>
      <c r="C9" s="6">
        <v>30</v>
      </c>
      <c r="D9" s="2" t="s">
        <v>45</v>
      </c>
      <c r="E9" s="2" t="s">
        <v>44</v>
      </c>
      <c r="F9" s="2" t="s">
        <v>43</v>
      </c>
      <c r="G9" s="6">
        <v>1118.33</v>
      </c>
      <c r="H9" s="6">
        <v>738.2</v>
      </c>
      <c r="I9" s="5">
        <v>84601.919999999998</v>
      </c>
      <c r="J9" s="5">
        <v>162349.63</v>
      </c>
      <c r="K9" s="4">
        <v>91.9</v>
      </c>
      <c r="L9" s="3">
        <v>45050</v>
      </c>
      <c r="M9" s="2" t="s">
        <v>42</v>
      </c>
      <c r="N9" s="2" t="s">
        <v>9</v>
      </c>
      <c r="O9" s="2" t="s">
        <v>29</v>
      </c>
      <c r="R9">
        <f>RANK(J9,$J$2:$J$151,0)</f>
        <v>114</v>
      </c>
    </row>
    <row r="10" spans="1:18" ht="18" customHeight="1" x14ac:dyDescent="0.3">
      <c r="A10" s="11" t="s">
        <v>199</v>
      </c>
      <c r="B10" s="7" t="s">
        <v>14</v>
      </c>
      <c r="C10" s="11">
        <v>33</v>
      </c>
      <c r="D10" s="7" t="s">
        <v>39</v>
      </c>
      <c r="E10" s="7" t="s">
        <v>38</v>
      </c>
      <c r="F10" s="7" t="s">
        <v>37</v>
      </c>
      <c r="G10" s="11">
        <v>4722.3599999999997</v>
      </c>
      <c r="H10" s="11">
        <v>535.03</v>
      </c>
      <c r="I10" s="10">
        <v>23345.77</v>
      </c>
      <c r="J10" s="10">
        <v>20578.37</v>
      </c>
      <c r="K10" s="9">
        <v>-11.85</v>
      </c>
      <c r="L10" s="8">
        <v>44801</v>
      </c>
      <c r="M10" s="7" t="s">
        <v>36</v>
      </c>
      <c r="N10" s="7" t="s">
        <v>16</v>
      </c>
      <c r="O10" s="7" t="s">
        <v>0</v>
      </c>
      <c r="R10">
        <f>RANK(J10,$J$2:$J$151,0)</f>
        <v>148</v>
      </c>
    </row>
    <row r="11" spans="1:18" ht="18" customHeight="1" x14ac:dyDescent="0.3">
      <c r="A11" s="6" t="s">
        <v>198</v>
      </c>
      <c r="B11" s="2" t="s">
        <v>6</v>
      </c>
      <c r="C11" s="6">
        <v>65</v>
      </c>
      <c r="D11" s="2" t="s">
        <v>33</v>
      </c>
      <c r="E11" s="2" t="s">
        <v>32</v>
      </c>
      <c r="F11" s="2" t="s">
        <v>31</v>
      </c>
      <c r="G11" s="6">
        <v>4107.3599999999997</v>
      </c>
      <c r="H11" s="6">
        <v>83.3</v>
      </c>
      <c r="I11" s="5">
        <v>215583.01</v>
      </c>
      <c r="J11" s="5">
        <v>208280.24</v>
      </c>
      <c r="K11" s="4">
        <v>-3.39</v>
      </c>
      <c r="L11" s="3">
        <v>44465</v>
      </c>
      <c r="M11" s="2" t="s">
        <v>30</v>
      </c>
      <c r="N11" s="2" t="s">
        <v>1</v>
      </c>
      <c r="O11" s="2" t="s">
        <v>0</v>
      </c>
      <c r="R11">
        <f>RANK(J11,$J$2:$J$151,0)</f>
        <v>105</v>
      </c>
    </row>
    <row r="12" spans="1:18" ht="18" customHeight="1" x14ac:dyDescent="0.3">
      <c r="A12" s="11" t="s">
        <v>197</v>
      </c>
      <c r="B12" s="7" t="s">
        <v>76</v>
      </c>
      <c r="C12" s="11">
        <v>61</v>
      </c>
      <c r="D12" s="7" t="s">
        <v>26</v>
      </c>
      <c r="E12" s="7" t="s">
        <v>25</v>
      </c>
      <c r="F12" s="7" t="s">
        <v>24</v>
      </c>
      <c r="G12" s="11">
        <v>78.06</v>
      </c>
      <c r="H12" s="11">
        <v>277.16000000000003</v>
      </c>
      <c r="I12" s="10">
        <v>264084.03000000003</v>
      </c>
      <c r="J12" s="10">
        <v>296057.33</v>
      </c>
      <c r="K12" s="9">
        <v>12.11</v>
      </c>
      <c r="L12" s="8">
        <v>43944</v>
      </c>
      <c r="M12" s="7" t="s">
        <v>23</v>
      </c>
      <c r="N12" s="7" t="s">
        <v>16</v>
      </c>
      <c r="O12" s="7" t="s">
        <v>8</v>
      </c>
      <c r="R12">
        <f>RANK(J12,$J$2:$J$151,0)</f>
        <v>84</v>
      </c>
    </row>
    <row r="13" spans="1:18" ht="18" customHeight="1" x14ac:dyDescent="0.3">
      <c r="A13" s="6" t="s">
        <v>196</v>
      </c>
      <c r="B13" s="2" t="s">
        <v>74</v>
      </c>
      <c r="C13" s="6">
        <v>62</v>
      </c>
      <c r="D13" s="2" t="s">
        <v>20</v>
      </c>
      <c r="E13" s="2" t="s">
        <v>19</v>
      </c>
      <c r="F13" s="2" t="s">
        <v>18</v>
      </c>
      <c r="G13" s="6">
        <v>1096.5999999999999</v>
      </c>
      <c r="H13" s="6">
        <v>220.91</v>
      </c>
      <c r="I13" s="5">
        <v>205013.49</v>
      </c>
      <c r="J13" s="5">
        <v>385655.62</v>
      </c>
      <c r="K13" s="4">
        <v>88.11</v>
      </c>
      <c r="L13" s="12">
        <v>44555</v>
      </c>
      <c r="M13" s="2" t="s">
        <v>17</v>
      </c>
      <c r="N13" s="2" t="s">
        <v>16</v>
      </c>
      <c r="O13" s="2" t="s">
        <v>0</v>
      </c>
      <c r="R13">
        <f>RANK(J13,$J$2:$J$151,0)</f>
        <v>67</v>
      </c>
    </row>
    <row r="14" spans="1:18" ht="18" customHeight="1" x14ac:dyDescent="0.3">
      <c r="A14" s="11" t="s">
        <v>195</v>
      </c>
      <c r="B14" s="7" t="s">
        <v>72</v>
      </c>
      <c r="C14" s="11">
        <v>52</v>
      </c>
      <c r="D14" s="7" t="s">
        <v>13</v>
      </c>
      <c r="E14" s="7" t="s">
        <v>12</v>
      </c>
      <c r="F14" s="7" t="s">
        <v>11</v>
      </c>
      <c r="G14" s="11">
        <v>4614.8900000000003</v>
      </c>
      <c r="H14" s="11">
        <v>122.12</v>
      </c>
      <c r="I14" s="10">
        <v>432645.08</v>
      </c>
      <c r="J14" s="10">
        <v>717996.94</v>
      </c>
      <c r="K14" s="9">
        <v>65.959999999999994</v>
      </c>
      <c r="L14" s="8">
        <v>44139</v>
      </c>
      <c r="M14" s="7" t="s">
        <v>10</v>
      </c>
      <c r="N14" s="7" t="s">
        <v>9</v>
      </c>
      <c r="O14" s="7" t="s">
        <v>8</v>
      </c>
      <c r="R14">
        <f>RANK(J14,$J$2:$J$151,0)</f>
        <v>18</v>
      </c>
    </row>
    <row r="15" spans="1:18" ht="18" customHeight="1" x14ac:dyDescent="0.3">
      <c r="A15" s="6" t="s">
        <v>194</v>
      </c>
      <c r="B15" s="2" t="s">
        <v>70</v>
      </c>
      <c r="C15" s="6">
        <v>60</v>
      </c>
      <c r="D15" s="2" t="s">
        <v>5</v>
      </c>
      <c r="E15" s="2" t="s">
        <v>4</v>
      </c>
      <c r="F15" s="2" t="s">
        <v>3</v>
      </c>
      <c r="G15" s="6">
        <v>4709.0600000000004</v>
      </c>
      <c r="H15" s="6">
        <v>117.01</v>
      </c>
      <c r="I15" s="5">
        <v>63763.81</v>
      </c>
      <c r="J15" s="5">
        <v>79677</v>
      </c>
      <c r="K15" s="4">
        <v>24.96</v>
      </c>
      <c r="L15" s="3">
        <v>44194</v>
      </c>
      <c r="M15" s="2" t="s">
        <v>2</v>
      </c>
      <c r="N15" s="2" t="s">
        <v>1</v>
      </c>
      <c r="O15" s="2" t="s">
        <v>29</v>
      </c>
      <c r="R15">
        <f>RANK(J15,$J$2:$J$151,0)</f>
        <v>135</v>
      </c>
    </row>
    <row r="16" spans="1:18" ht="18" customHeight="1" x14ac:dyDescent="0.3">
      <c r="A16" s="11" t="s">
        <v>193</v>
      </c>
      <c r="B16" s="7" t="s">
        <v>68</v>
      </c>
      <c r="C16" s="11">
        <v>48</v>
      </c>
      <c r="D16" s="7" t="s">
        <v>51</v>
      </c>
      <c r="E16" s="7" t="s">
        <v>50</v>
      </c>
      <c r="F16" s="7" t="s">
        <v>49</v>
      </c>
      <c r="G16" s="11">
        <v>770.28</v>
      </c>
      <c r="H16" s="11">
        <v>181.91</v>
      </c>
      <c r="I16" s="10">
        <v>282678.03999999998</v>
      </c>
      <c r="J16" s="10">
        <v>534336.59</v>
      </c>
      <c r="K16" s="9">
        <v>89.03</v>
      </c>
      <c r="L16" s="8">
        <v>44310</v>
      </c>
      <c r="M16" s="7" t="s">
        <v>48</v>
      </c>
      <c r="N16" s="7" t="s">
        <v>16</v>
      </c>
      <c r="O16" s="7" t="s">
        <v>0</v>
      </c>
      <c r="R16">
        <f>RANK(J16,$J$2:$J$151,0)</f>
        <v>38</v>
      </c>
    </row>
    <row r="17" spans="1:18" ht="18" customHeight="1" x14ac:dyDescent="0.3">
      <c r="A17" s="6" t="s">
        <v>192</v>
      </c>
      <c r="B17" s="2" t="s">
        <v>66</v>
      </c>
      <c r="C17" s="6">
        <v>38</v>
      </c>
      <c r="D17" s="2" t="s">
        <v>45</v>
      </c>
      <c r="E17" s="2" t="s">
        <v>44</v>
      </c>
      <c r="F17" s="2" t="s">
        <v>43</v>
      </c>
      <c r="G17" s="6">
        <v>630.21</v>
      </c>
      <c r="H17" s="6">
        <v>661.43</v>
      </c>
      <c r="I17" s="5">
        <v>97046.21</v>
      </c>
      <c r="J17" s="5">
        <v>91973.19</v>
      </c>
      <c r="K17" s="4">
        <v>-5.23</v>
      </c>
      <c r="L17" s="3">
        <v>44420</v>
      </c>
      <c r="M17" s="2" t="s">
        <v>42</v>
      </c>
      <c r="N17" s="2" t="s">
        <v>9</v>
      </c>
      <c r="O17" s="2" t="s">
        <v>0</v>
      </c>
      <c r="R17">
        <f>RANK(J17,$J$2:$J$151,0)</f>
        <v>132</v>
      </c>
    </row>
    <row r="18" spans="1:18" ht="18" customHeight="1" x14ac:dyDescent="0.3">
      <c r="A18" s="11" t="s">
        <v>191</v>
      </c>
      <c r="B18" s="7" t="s">
        <v>64</v>
      </c>
      <c r="C18" s="11">
        <v>22</v>
      </c>
      <c r="D18" s="7" t="s">
        <v>39</v>
      </c>
      <c r="E18" s="7" t="s">
        <v>38</v>
      </c>
      <c r="F18" s="7" t="s">
        <v>37</v>
      </c>
      <c r="G18" s="11">
        <v>2949.18</v>
      </c>
      <c r="H18" s="11">
        <v>57.19</v>
      </c>
      <c r="I18" s="10">
        <v>112079.47</v>
      </c>
      <c r="J18" s="10">
        <v>155654.41</v>
      </c>
      <c r="K18" s="9">
        <v>38.880000000000003</v>
      </c>
      <c r="L18" s="8">
        <v>44648</v>
      </c>
      <c r="M18" s="7" t="s">
        <v>36</v>
      </c>
      <c r="N18" s="7" t="s">
        <v>16</v>
      </c>
      <c r="O18" s="7" t="s">
        <v>8</v>
      </c>
      <c r="R18">
        <f>RANK(J18,$J$2:$J$151,0)</f>
        <v>115</v>
      </c>
    </row>
    <row r="19" spans="1:18" ht="18" customHeight="1" x14ac:dyDescent="0.3">
      <c r="A19" s="6" t="s">
        <v>190</v>
      </c>
      <c r="B19" s="2" t="s">
        <v>62</v>
      </c>
      <c r="C19" s="6">
        <v>46</v>
      </c>
      <c r="D19" s="2" t="s">
        <v>33</v>
      </c>
      <c r="E19" s="2" t="s">
        <v>32</v>
      </c>
      <c r="F19" s="2" t="s">
        <v>31</v>
      </c>
      <c r="G19" s="6">
        <v>2099.62</v>
      </c>
      <c r="H19" s="6">
        <v>309.36</v>
      </c>
      <c r="I19" s="5">
        <v>50868.83</v>
      </c>
      <c r="J19" s="5">
        <v>103641.03</v>
      </c>
      <c r="K19" s="4">
        <v>103.74</v>
      </c>
      <c r="L19" s="3">
        <v>44594</v>
      </c>
      <c r="M19" s="2" t="s">
        <v>30</v>
      </c>
      <c r="N19" s="2" t="s">
        <v>1</v>
      </c>
      <c r="O19" s="2" t="s">
        <v>0</v>
      </c>
      <c r="R19">
        <f>RANK(J19,$J$2:$J$151,0)</f>
        <v>130</v>
      </c>
    </row>
    <row r="20" spans="1:18" ht="18" customHeight="1" x14ac:dyDescent="0.3">
      <c r="A20" s="11" t="s">
        <v>189</v>
      </c>
      <c r="B20" s="7" t="s">
        <v>60</v>
      </c>
      <c r="C20" s="11">
        <v>47</v>
      </c>
      <c r="D20" s="7" t="s">
        <v>26</v>
      </c>
      <c r="E20" s="7" t="s">
        <v>25</v>
      </c>
      <c r="F20" s="7" t="s">
        <v>24</v>
      </c>
      <c r="G20" s="11">
        <v>3865.57</v>
      </c>
      <c r="H20" s="11">
        <v>199.56</v>
      </c>
      <c r="I20" s="10">
        <v>427523.11</v>
      </c>
      <c r="J20" s="10">
        <v>493858.4</v>
      </c>
      <c r="K20" s="9">
        <v>15.52</v>
      </c>
      <c r="L20" s="8">
        <v>44467</v>
      </c>
      <c r="M20" s="7" t="s">
        <v>23</v>
      </c>
      <c r="N20" s="7" t="s">
        <v>16</v>
      </c>
      <c r="O20" s="7" t="s">
        <v>8</v>
      </c>
      <c r="R20">
        <f>RANK(J20,$J$2:$J$151,0)</f>
        <v>44</v>
      </c>
    </row>
    <row r="21" spans="1:18" ht="18" customHeight="1" x14ac:dyDescent="0.3">
      <c r="A21" s="6" t="s">
        <v>188</v>
      </c>
      <c r="B21" s="2" t="s">
        <v>58</v>
      </c>
      <c r="C21" s="6">
        <v>28</v>
      </c>
      <c r="D21" s="2" t="s">
        <v>20</v>
      </c>
      <c r="E21" s="2" t="s">
        <v>19</v>
      </c>
      <c r="F21" s="2" t="s">
        <v>18</v>
      </c>
      <c r="G21" s="6">
        <v>4377.4399999999996</v>
      </c>
      <c r="H21" s="6">
        <v>582.16999999999996</v>
      </c>
      <c r="I21" s="5">
        <v>113208.96000000001</v>
      </c>
      <c r="J21" s="5">
        <v>219910.64</v>
      </c>
      <c r="K21" s="4">
        <v>94.25</v>
      </c>
      <c r="L21" s="12">
        <v>45211</v>
      </c>
      <c r="M21" s="2" t="s">
        <v>17</v>
      </c>
      <c r="N21" s="2" t="s">
        <v>16</v>
      </c>
      <c r="O21" s="2" t="s">
        <v>29</v>
      </c>
      <c r="R21">
        <f>RANK(J21,$J$2:$J$151,0)</f>
        <v>100</v>
      </c>
    </row>
    <row r="22" spans="1:18" ht="18" customHeight="1" x14ac:dyDescent="0.3">
      <c r="A22" s="11" t="s">
        <v>187</v>
      </c>
      <c r="B22" s="7" t="s">
        <v>56</v>
      </c>
      <c r="C22" s="11">
        <v>37</v>
      </c>
      <c r="D22" s="7" t="s">
        <v>13</v>
      </c>
      <c r="E22" s="7" t="s">
        <v>12</v>
      </c>
      <c r="F22" s="7" t="s">
        <v>11</v>
      </c>
      <c r="G22" s="11">
        <v>1948.6</v>
      </c>
      <c r="H22" s="11">
        <v>361.74</v>
      </c>
      <c r="I22" s="10">
        <v>479750.48</v>
      </c>
      <c r="J22" s="10">
        <v>979365.14</v>
      </c>
      <c r="K22" s="9">
        <v>104.14</v>
      </c>
      <c r="L22" s="8">
        <v>44693</v>
      </c>
      <c r="M22" s="7" t="s">
        <v>10</v>
      </c>
      <c r="N22" s="7" t="s">
        <v>9</v>
      </c>
      <c r="O22" s="7" t="s">
        <v>0</v>
      </c>
      <c r="R22">
        <f>RANK(J22,$J$2:$J$151,0)</f>
        <v>2</v>
      </c>
    </row>
    <row r="23" spans="1:18" ht="18" customHeight="1" x14ac:dyDescent="0.3">
      <c r="A23" s="6" t="s">
        <v>186</v>
      </c>
      <c r="B23" s="2" t="s">
        <v>54</v>
      </c>
      <c r="C23" s="6">
        <v>38</v>
      </c>
      <c r="D23" s="2" t="s">
        <v>5</v>
      </c>
      <c r="E23" s="2" t="s">
        <v>4</v>
      </c>
      <c r="F23" s="2" t="s">
        <v>3</v>
      </c>
      <c r="G23" s="6">
        <v>394.9</v>
      </c>
      <c r="H23" s="6">
        <v>248.56</v>
      </c>
      <c r="I23" s="5">
        <v>343979.86</v>
      </c>
      <c r="J23" s="5">
        <v>441258.83</v>
      </c>
      <c r="K23" s="4">
        <v>28.28</v>
      </c>
      <c r="L23" s="3">
        <v>44808</v>
      </c>
      <c r="M23" s="2" t="s">
        <v>2</v>
      </c>
      <c r="N23" s="2" t="s">
        <v>1</v>
      </c>
      <c r="O23" s="2" t="s">
        <v>0</v>
      </c>
      <c r="R23">
        <f>RANK(J23,$J$2:$J$151,0)</f>
        <v>54</v>
      </c>
    </row>
    <row r="24" spans="1:18" ht="18" customHeight="1" x14ac:dyDescent="0.3">
      <c r="A24" s="11" t="s">
        <v>185</v>
      </c>
      <c r="B24" s="7" t="s">
        <v>52</v>
      </c>
      <c r="C24" s="11">
        <v>56</v>
      </c>
      <c r="D24" s="7" t="s">
        <v>51</v>
      </c>
      <c r="E24" s="7" t="s">
        <v>50</v>
      </c>
      <c r="F24" s="7" t="s">
        <v>49</v>
      </c>
      <c r="G24" s="11">
        <v>680.04</v>
      </c>
      <c r="H24" s="11">
        <v>718.89</v>
      </c>
      <c r="I24" s="10">
        <v>218306.36</v>
      </c>
      <c r="J24" s="10">
        <v>271287.39</v>
      </c>
      <c r="K24" s="9">
        <v>24.27</v>
      </c>
      <c r="L24" s="8">
        <v>45179</v>
      </c>
      <c r="M24" s="7" t="s">
        <v>48</v>
      </c>
      <c r="N24" s="7" t="s">
        <v>16</v>
      </c>
      <c r="O24" s="7" t="s">
        <v>8</v>
      </c>
      <c r="R24">
        <f>RANK(J24,$J$2:$J$151,0)</f>
        <v>90</v>
      </c>
    </row>
    <row r="25" spans="1:18" ht="18" customHeight="1" x14ac:dyDescent="0.3">
      <c r="A25" s="6" t="s">
        <v>184</v>
      </c>
      <c r="B25" s="2" t="s">
        <v>46</v>
      </c>
      <c r="C25" s="6">
        <v>61</v>
      </c>
      <c r="D25" s="2" t="s">
        <v>45</v>
      </c>
      <c r="E25" s="2" t="s">
        <v>44</v>
      </c>
      <c r="F25" s="2" t="s">
        <v>43</v>
      </c>
      <c r="G25" s="6">
        <v>839.13</v>
      </c>
      <c r="H25" s="6">
        <v>315.58999999999997</v>
      </c>
      <c r="I25" s="5">
        <v>340783.35999999999</v>
      </c>
      <c r="J25" s="5">
        <v>686560.6</v>
      </c>
      <c r="K25" s="4">
        <v>101.47</v>
      </c>
      <c r="L25" s="3">
        <v>45098</v>
      </c>
      <c r="M25" s="2" t="s">
        <v>42</v>
      </c>
      <c r="N25" s="2" t="s">
        <v>9</v>
      </c>
      <c r="O25" s="2" t="s">
        <v>0</v>
      </c>
      <c r="R25">
        <f>RANK(J25,$J$2:$J$151,0)</f>
        <v>21</v>
      </c>
    </row>
    <row r="26" spans="1:18" ht="18" customHeight="1" x14ac:dyDescent="0.3">
      <c r="A26" s="11" t="s">
        <v>183</v>
      </c>
      <c r="B26" s="7" t="s">
        <v>40</v>
      </c>
      <c r="C26" s="11">
        <v>64</v>
      </c>
      <c r="D26" s="7" t="s">
        <v>39</v>
      </c>
      <c r="E26" s="7" t="s">
        <v>38</v>
      </c>
      <c r="F26" s="7" t="s">
        <v>37</v>
      </c>
      <c r="G26" s="11">
        <v>3588.39</v>
      </c>
      <c r="H26" s="11">
        <v>171.69</v>
      </c>
      <c r="I26" s="10">
        <v>171739.31</v>
      </c>
      <c r="J26" s="10">
        <v>191804.79999999999</v>
      </c>
      <c r="K26" s="9">
        <v>11.68</v>
      </c>
      <c r="L26" s="8">
        <v>43839</v>
      </c>
      <c r="M26" s="7" t="s">
        <v>36</v>
      </c>
      <c r="N26" s="7" t="s">
        <v>16</v>
      </c>
      <c r="O26" s="7" t="s">
        <v>8</v>
      </c>
      <c r="R26">
        <f>RANK(J26,$J$2:$J$151,0)</f>
        <v>108</v>
      </c>
    </row>
    <row r="27" spans="1:18" ht="18" customHeight="1" x14ac:dyDescent="0.3">
      <c r="A27" s="6" t="s">
        <v>182</v>
      </c>
      <c r="B27" s="2" t="s">
        <v>34</v>
      </c>
      <c r="C27" s="6">
        <v>64</v>
      </c>
      <c r="D27" s="2" t="s">
        <v>33</v>
      </c>
      <c r="E27" s="2" t="s">
        <v>32</v>
      </c>
      <c r="F27" s="2" t="s">
        <v>31</v>
      </c>
      <c r="G27" s="6">
        <v>1808.68</v>
      </c>
      <c r="H27" s="6">
        <v>250.41</v>
      </c>
      <c r="I27" s="5">
        <v>425975.66</v>
      </c>
      <c r="J27" s="5">
        <v>874653.31</v>
      </c>
      <c r="K27" s="4">
        <v>105.33</v>
      </c>
      <c r="L27" s="3">
        <v>45198</v>
      </c>
      <c r="M27" s="2" t="s">
        <v>30</v>
      </c>
      <c r="N27" s="2" t="s">
        <v>1</v>
      </c>
      <c r="O27" s="2" t="s">
        <v>29</v>
      </c>
      <c r="R27">
        <f>RANK(J27,$J$2:$J$151,0)</f>
        <v>7</v>
      </c>
    </row>
    <row r="28" spans="1:18" ht="18" customHeight="1" x14ac:dyDescent="0.3">
      <c r="A28" s="11" t="s">
        <v>181</v>
      </c>
      <c r="B28" s="7" t="s">
        <v>27</v>
      </c>
      <c r="C28" s="11">
        <v>32</v>
      </c>
      <c r="D28" s="7" t="s">
        <v>26</v>
      </c>
      <c r="E28" s="7" t="s">
        <v>25</v>
      </c>
      <c r="F28" s="7" t="s">
        <v>24</v>
      </c>
      <c r="G28" s="11">
        <v>3957.99</v>
      </c>
      <c r="H28" s="11">
        <v>223.57</v>
      </c>
      <c r="I28" s="10">
        <v>211272.8</v>
      </c>
      <c r="J28" s="10">
        <v>394251.65</v>
      </c>
      <c r="K28" s="9">
        <v>86.61</v>
      </c>
      <c r="L28" s="8">
        <v>45277</v>
      </c>
      <c r="M28" s="7" t="s">
        <v>23</v>
      </c>
      <c r="N28" s="7" t="s">
        <v>16</v>
      </c>
      <c r="O28" s="7" t="s">
        <v>0</v>
      </c>
      <c r="R28">
        <f>RANK(J28,$J$2:$J$151,0)</f>
        <v>63</v>
      </c>
    </row>
    <row r="29" spans="1:18" ht="18" customHeight="1" x14ac:dyDescent="0.3">
      <c r="A29" s="6" t="s">
        <v>180</v>
      </c>
      <c r="B29" s="2" t="s">
        <v>21</v>
      </c>
      <c r="C29" s="6">
        <v>36</v>
      </c>
      <c r="D29" s="2" t="s">
        <v>20</v>
      </c>
      <c r="E29" s="2" t="s">
        <v>19</v>
      </c>
      <c r="F29" s="2" t="s">
        <v>18</v>
      </c>
      <c r="G29" s="6">
        <v>2070.8200000000002</v>
      </c>
      <c r="H29" s="6">
        <v>692.17</v>
      </c>
      <c r="I29" s="5">
        <v>329995.38</v>
      </c>
      <c r="J29" s="5">
        <v>282107.99</v>
      </c>
      <c r="K29" s="4">
        <v>-14.51</v>
      </c>
      <c r="L29" s="12">
        <v>44858</v>
      </c>
      <c r="M29" s="2" t="s">
        <v>17</v>
      </c>
      <c r="N29" s="2" t="s">
        <v>16</v>
      </c>
      <c r="O29" s="2" t="s">
        <v>0</v>
      </c>
      <c r="R29">
        <f>RANK(J29,$J$2:$J$151,0)</f>
        <v>87</v>
      </c>
    </row>
    <row r="30" spans="1:18" ht="18" customHeight="1" x14ac:dyDescent="0.3">
      <c r="A30" s="11" t="s">
        <v>179</v>
      </c>
      <c r="B30" s="7" t="s">
        <v>14</v>
      </c>
      <c r="C30" s="11">
        <v>56</v>
      </c>
      <c r="D30" s="7" t="s">
        <v>13</v>
      </c>
      <c r="E30" s="7" t="s">
        <v>12</v>
      </c>
      <c r="F30" s="7" t="s">
        <v>11</v>
      </c>
      <c r="G30" s="11">
        <v>1052.3599999999999</v>
      </c>
      <c r="H30" s="11">
        <v>427.24</v>
      </c>
      <c r="I30" s="10">
        <v>475201.74</v>
      </c>
      <c r="J30" s="10">
        <v>1031522.74</v>
      </c>
      <c r="K30" s="9">
        <v>117.07</v>
      </c>
      <c r="L30" s="8">
        <v>44173</v>
      </c>
      <c r="M30" s="7" t="s">
        <v>10</v>
      </c>
      <c r="N30" s="7" t="s">
        <v>9</v>
      </c>
      <c r="O30" s="7" t="s">
        <v>8</v>
      </c>
      <c r="R30">
        <f>RANK(J30,$J$2:$J$151,0)</f>
        <v>1</v>
      </c>
    </row>
    <row r="31" spans="1:18" ht="18" customHeight="1" x14ac:dyDescent="0.3">
      <c r="A31" s="6" t="s">
        <v>178</v>
      </c>
      <c r="B31" s="2" t="s">
        <v>6</v>
      </c>
      <c r="C31" s="6">
        <v>54</v>
      </c>
      <c r="D31" s="2" t="s">
        <v>5</v>
      </c>
      <c r="E31" s="2" t="s">
        <v>4</v>
      </c>
      <c r="F31" s="2" t="s">
        <v>3</v>
      </c>
      <c r="G31" s="6">
        <v>3935.11</v>
      </c>
      <c r="H31" s="6">
        <v>366.41</v>
      </c>
      <c r="I31" s="5">
        <v>106621.8</v>
      </c>
      <c r="J31" s="5">
        <v>198378.27</v>
      </c>
      <c r="K31" s="4">
        <v>86.06</v>
      </c>
      <c r="L31" s="3">
        <v>44684</v>
      </c>
      <c r="M31" s="2" t="s">
        <v>2</v>
      </c>
      <c r="N31" s="2" t="s">
        <v>1</v>
      </c>
      <c r="O31" s="2" t="s">
        <v>0</v>
      </c>
      <c r="R31">
        <f>RANK(J31,$J$2:$J$151,0)</f>
        <v>107</v>
      </c>
    </row>
    <row r="32" spans="1:18" ht="18" customHeight="1" x14ac:dyDescent="0.3">
      <c r="A32" s="11" t="s">
        <v>177</v>
      </c>
      <c r="B32" s="7" t="s">
        <v>76</v>
      </c>
      <c r="C32" s="11">
        <v>51</v>
      </c>
      <c r="D32" s="7" t="s">
        <v>51</v>
      </c>
      <c r="E32" s="7" t="s">
        <v>50</v>
      </c>
      <c r="F32" s="7" t="s">
        <v>49</v>
      </c>
      <c r="G32" s="11">
        <v>2823.85</v>
      </c>
      <c r="H32" s="11">
        <v>508.26</v>
      </c>
      <c r="I32" s="10">
        <v>385091.38</v>
      </c>
      <c r="J32" s="10">
        <v>759098.75</v>
      </c>
      <c r="K32" s="9">
        <v>97.12</v>
      </c>
      <c r="L32" s="8">
        <v>45071</v>
      </c>
      <c r="M32" s="7" t="s">
        <v>48</v>
      </c>
      <c r="N32" s="7" t="s">
        <v>16</v>
      </c>
      <c r="O32" s="7" t="s">
        <v>8</v>
      </c>
      <c r="R32">
        <f>RANK(J32,$J$2:$J$151,0)</f>
        <v>14</v>
      </c>
    </row>
    <row r="33" spans="1:18" ht="18" customHeight="1" x14ac:dyDescent="0.3">
      <c r="A33" s="6" t="s">
        <v>176</v>
      </c>
      <c r="B33" s="2" t="s">
        <v>74</v>
      </c>
      <c r="C33" s="6">
        <v>40</v>
      </c>
      <c r="D33" s="2" t="s">
        <v>45</v>
      </c>
      <c r="E33" s="2" t="s">
        <v>44</v>
      </c>
      <c r="F33" s="2" t="s">
        <v>43</v>
      </c>
      <c r="G33" s="6">
        <v>1041.4100000000001</v>
      </c>
      <c r="H33" s="6">
        <v>36.08</v>
      </c>
      <c r="I33" s="5">
        <v>57050</v>
      </c>
      <c r="J33" s="5">
        <v>72175.460000000006</v>
      </c>
      <c r="K33" s="4">
        <v>26.51</v>
      </c>
      <c r="L33" s="3">
        <v>45019</v>
      </c>
      <c r="M33" s="2" t="s">
        <v>42</v>
      </c>
      <c r="N33" s="2" t="s">
        <v>9</v>
      </c>
      <c r="O33" s="2" t="s">
        <v>29</v>
      </c>
      <c r="R33">
        <f>RANK(J33,$J$2:$J$151,0)</f>
        <v>137</v>
      </c>
    </row>
    <row r="34" spans="1:18" ht="18" customHeight="1" x14ac:dyDescent="0.3">
      <c r="A34" s="11" t="s">
        <v>175</v>
      </c>
      <c r="B34" s="7" t="s">
        <v>72</v>
      </c>
      <c r="C34" s="11">
        <v>24</v>
      </c>
      <c r="D34" s="7" t="s">
        <v>39</v>
      </c>
      <c r="E34" s="7" t="s">
        <v>38</v>
      </c>
      <c r="F34" s="7" t="s">
        <v>37</v>
      </c>
      <c r="G34" s="11">
        <v>4807.63</v>
      </c>
      <c r="H34" s="11">
        <v>345.08</v>
      </c>
      <c r="I34" s="10">
        <v>187767.1</v>
      </c>
      <c r="J34" s="10">
        <v>300851.48</v>
      </c>
      <c r="K34" s="9">
        <v>60.23</v>
      </c>
      <c r="L34" s="8">
        <v>45286</v>
      </c>
      <c r="M34" s="7" t="s">
        <v>36</v>
      </c>
      <c r="N34" s="7" t="s">
        <v>16</v>
      </c>
      <c r="O34" s="7" t="s">
        <v>0</v>
      </c>
      <c r="R34">
        <f>RANK(J34,$J$2:$J$151,0)</f>
        <v>82</v>
      </c>
    </row>
    <row r="35" spans="1:18" ht="18" customHeight="1" x14ac:dyDescent="0.3">
      <c r="A35" s="6" t="s">
        <v>174</v>
      </c>
      <c r="B35" s="2" t="s">
        <v>70</v>
      </c>
      <c r="C35" s="6">
        <v>59</v>
      </c>
      <c r="D35" s="2" t="s">
        <v>33</v>
      </c>
      <c r="E35" s="2" t="s">
        <v>32</v>
      </c>
      <c r="F35" s="2" t="s">
        <v>31</v>
      </c>
      <c r="G35" s="6">
        <v>2895.82</v>
      </c>
      <c r="H35" s="6">
        <v>171.32</v>
      </c>
      <c r="I35" s="5">
        <v>54555.19</v>
      </c>
      <c r="J35" s="5">
        <v>109983.62</v>
      </c>
      <c r="K35" s="4">
        <v>101.6</v>
      </c>
      <c r="L35" s="3">
        <v>44639</v>
      </c>
      <c r="M35" s="2" t="s">
        <v>30</v>
      </c>
      <c r="N35" s="2" t="s">
        <v>1</v>
      </c>
      <c r="O35" s="2" t="s">
        <v>0</v>
      </c>
      <c r="R35">
        <f>RANK(J35,$J$2:$J$151,0)</f>
        <v>129</v>
      </c>
    </row>
    <row r="36" spans="1:18" ht="18" customHeight="1" x14ac:dyDescent="0.3">
      <c r="A36" s="11" t="s">
        <v>173</v>
      </c>
      <c r="B36" s="7" t="s">
        <v>68</v>
      </c>
      <c r="C36" s="11">
        <v>47</v>
      </c>
      <c r="D36" s="7" t="s">
        <v>26</v>
      </c>
      <c r="E36" s="7" t="s">
        <v>25</v>
      </c>
      <c r="F36" s="7" t="s">
        <v>24</v>
      </c>
      <c r="G36" s="11">
        <v>3956.78</v>
      </c>
      <c r="H36" s="11">
        <v>226.55</v>
      </c>
      <c r="I36" s="10">
        <v>167883.12</v>
      </c>
      <c r="J36" s="10">
        <v>341663.68</v>
      </c>
      <c r="K36" s="9">
        <v>103.51</v>
      </c>
      <c r="L36" s="8">
        <v>44745</v>
      </c>
      <c r="M36" s="7" t="s">
        <v>23</v>
      </c>
      <c r="N36" s="7" t="s">
        <v>16</v>
      </c>
      <c r="O36" s="7" t="s">
        <v>8</v>
      </c>
      <c r="R36">
        <f>RANK(J36,$J$2:$J$151,0)</f>
        <v>76</v>
      </c>
    </row>
    <row r="37" spans="1:18" ht="18" customHeight="1" x14ac:dyDescent="0.3">
      <c r="A37" s="6" t="s">
        <v>172</v>
      </c>
      <c r="B37" s="2" t="s">
        <v>66</v>
      </c>
      <c r="C37" s="6">
        <v>46</v>
      </c>
      <c r="D37" s="2" t="s">
        <v>20</v>
      </c>
      <c r="E37" s="2" t="s">
        <v>19</v>
      </c>
      <c r="F37" s="2" t="s">
        <v>18</v>
      </c>
      <c r="G37" s="6">
        <v>2119.91</v>
      </c>
      <c r="H37" s="6">
        <v>764.38</v>
      </c>
      <c r="I37" s="5">
        <v>93522.86</v>
      </c>
      <c r="J37" s="5">
        <v>111079.57</v>
      </c>
      <c r="K37" s="4">
        <v>18.77</v>
      </c>
      <c r="L37" s="12">
        <v>44391</v>
      </c>
      <c r="M37" s="2" t="s">
        <v>17</v>
      </c>
      <c r="N37" s="2" t="s">
        <v>16</v>
      </c>
      <c r="O37" s="2" t="s">
        <v>0</v>
      </c>
      <c r="R37">
        <f>RANK(J37,$J$2:$J$151,0)</f>
        <v>128</v>
      </c>
    </row>
    <row r="38" spans="1:18" ht="18" customHeight="1" x14ac:dyDescent="0.3">
      <c r="A38" s="11" t="s">
        <v>171</v>
      </c>
      <c r="B38" s="7" t="s">
        <v>64</v>
      </c>
      <c r="C38" s="11">
        <v>51</v>
      </c>
      <c r="D38" s="7" t="s">
        <v>13</v>
      </c>
      <c r="E38" s="7" t="s">
        <v>12</v>
      </c>
      <c r="F38" s="7" t="s">
        <v>11</v>
      </c>
      <c r="G38" s="11">
        <v>2884.69</v>
      </c>
      <c r="H38" s="11">
        <v>714.02</v>
      </c>
      <c r="I38" s="10">
        <v>194413.86</v>
      </c>
      <c r="J38" s="10">
        <v>382217.32</v>
      </c>
      <c r="K38" s="9">
        <v>96.6</v>
      </c>
      <c r="L38" s="8">
        <v>44812</v>
      </c>
      <c r="M38" s="7" t="s">
        <v>10</v>
      </c>
      <c r="N38" s="7" t="s">
        <v>9</v>
      </c>
      <c r="O38" s="7" t="s">
        <v>8</v>
      </c>
      <c r="R38">
        <f>RANK(J38,$J$2:$J$151,0)</f>
        <v>68</v>
      </c>
    </row>
    <row r="39" spans="1:18" ht="18" customHeight="1" x14ac:dyDescent="0.3">
      <c r="A39" s="6" t="s">
        <v>170</v>
      </c>
      <c r="B39" s="2" t="s">
        <v>62</v>
      </c>
      <c r="C39" s="6">
        <v>58</v>
      </c>
      <c r="D39" s="2" t="s">
        <v>5</v>
      </c>
      <c r="E39" s="2" t="s">
        <v>4</v>
      </c>
      <c r="F39" s="2" t="s">
        <v>3</v>
      </c>
      <c r="G39" s="6">
        <v>4470</v>
      </c>
      <c r="H39" s="6">
        <v>713.63</v>
      </c>
      <c r="I39" s="5">
        <v>240794.92</v>
      </c>
      <c r="J39" s="5">
        <v>259769.62</v>
      </c>
      <c r="K39" s="4">
        <v>7.88</v>
      </c>
      <c r="L39" s="3">
        <v>43984</v>
      </c>
      <c r="M39" s="2" t="s">
        <v>2</v>
      </c>
      <c r="N39" s="2" t="s">
        <v>1</v>
      </c>
      <c r="O39" s="2" t="s">
        <v>29</v>
      </c>
      <c r="R39">
        <f>RANK(J39,$J$2:$J$151,0)</f>
        <v>93</v>
      </c>
    </row>
    <row r="40" spans="1:18" ht="18" customHeight="1" x14ac:dyDescent="0.3">
      <c r="A40" s="11" t="s">
        <v>169</v>
      </c>
      <c r="B40" s="7" t="s">
        <v>60</v>
      </c>
      <c r="C40" s="11">
        <v>56</v>
      </c>
      <c r="D40" s="7" t="s">
        <v>51</v>
      </c>
      <c r="E40" s="7" t="s">
        <v>50</v>
      </c>
      <c r="F40" s="7" t="s">
        <v>49</v>
      </c>
      <c r="G40" s="11">
        <v>1235.8900000000001</v>
      </c>
      <c r="H40" s="11">
        <v>378.7</v>
      </c>
      <c r="I40" s="10">
        <v>12629.42</v>
      </c>
      <c r="J40" s="10">
        <v>16357.09</v>
      </c>
      <c r="K40" s="9">
        <v>29.52</v>
      </c>
      <c r="L40" s="8">
        <v>44842</v>
      </c>
      <c r="M40" s="7" t="s">
        <v>48</v>
      </c>
      <c r="N40" s="7" t="s">
        <v>16</v>
      </c>
      <c r="O40" s="7" t="s">
        <v>0</v>
      </c>
      <c r="R40">
        <f>RANK(J40,$J$2:$J$151,0)</f>
        <v>149</v>
      </c>
    </row>
    <row r="41" spans="1:18" ht="18" customHeight="1" x14ac:dyDescent="0.3">
      <c r="A41" s="6" t="s">
        <v>168</v>
      </c>
      <c r="B41" s="2" t="s">
        <v>58</v>
      </c>
      <c r="C41" s="6">
        <v>26</v>
      </c>
      <c r="D41" s="2" t="s">
        <v>45</v>
      </c>
      <c r="E41" s="2" t="s">
        <v>44</v>
      </c>
      <c r="F41" s="2" t="s">
        <v>43</v>
      </c>
      <c r="G41" s="6">
        <v>1711.97</v>
      </c>
      <c r="H41" s="6">
        <v>592.30999999999995</v>
      </c>
      <c r="I41" s="5">
        <v>286960.88</v>
      </c>
      <c r="J41" s="5">
        <v>450404.11</v>
      </c>
      <c r="K41" s="4">
        <v>56.96</v>
      </c>
      <c r="L41" s="3">
        <v>45128</v>
      </c>
      <c r="M41" s="2" t="s">
        <v>42</v>
      </c>
      <c r="N41" s="2" t="s">
        <v>9</v>
      </c>
      <c r="O41" s="2" t="s">
        <v>0</v>
      </c>
      <c r="R41">
        <f>RANK(J41,$J$2:$J$151,0)</f>
        <v>52</v>
      </c>
    </row>
    <row r="42" spans="1:18" ht="18" customHeight="1" x14ac:dyDescent="0.3">
      <c r="A42" s="11" t="s">
        <v>167</v>
      </c>
      <c r="B42" s="7" t="s">
        <v>56</v>
      </c>
      <c r="C42" s="11">
        <v>22</v>
      </c>
      <c r="D42" s="7" t="s">
        <v>39</v>
      </c>
      <c r="E42" s="7" t="s">
        <v>38</v>
      </c>
      <c r="F42" s="7" t="s">
        <v>37</v>
      </c>
      <c r="G42" s="11">
        <v>2935.57</v>
      </c>
      <c r="H42" s="11">
        <v>342.87</v>
      </c>
      <c r="I42" s="10">
        <v>87162.19</v>
      </c>
      <c r="J42" s="10">
        <v>143294.01999999999</v>
      </c>
      <c r="K42" s="9">
        <v>64.400000000000006</v>
      </c>
      <c r="L42" s="8">
        <v>43928</v>
      </c>
      <c r="M42" s="7" t="s">
        <v>36</v>
      </c>
      <c r="N42" s="7" t="s">
        <v>16</v>
      </c>
      <c r="O42" s="7" t="s">
        <v>8</v>
      </c>
      <c r="R42">
        <f>RANK(J42,$J$2:$J$151,0)</f>
        <v>119</v>
      </c>
    </row>
    <row r="43" spans="1:18" ht="18" customHeight="1" x14ac:dyDescent="0.3">
      <c r="A43" s="6" t="s">
        <v>166</v>
      </c>
      <c r="B43" s="2" t="s">
        <v>54</v>
      </c>
      <c r="C43" s="6">
        <v>47</v>
      </c>
      <c r="D43" s="2" t="s">
        <v>33</v>
      </c>
      <c r="E43" s="2" t="s">
        <v>32</v>
      </c>
      <c r="F43" s="2" t="s">
        <v>31</v>
      </c>
      <c r="G43" s="6">
        <v>228.9</v>
      </c>
      <c r="H43" s="6">
        <v>287.06</v>
      </c>
      <c r="I43" s="5">
        <v>118828.15</v>
      </c>
      <c r="J43" s="5">
        <v>222202.77</v>
      </c>
      <c r="K43" s="4">
        <v>87</v>
      </c>
      <c r="L43" s="3">
        <v>44155</v>
      </c>
      <c r="M43" s="2" t="s">
        <v>30</v>
      </c>
      <c r="N43" s="2" t="s">
        <v>1</v>
      </c>
      <c r="O43" s="2" t="s">
        <v>0</v>
      </c>
      <c r="R43">
        <f>RANK(J43,$J$2:$J$151,0)</f>
        <v>99</v>
      </c>
    </row>
    <row r="44" spans="1:18" ht="18" customHeight="1" x14ac:dyDescent="0.3">
      <c r="A44" s="11" t="s">
        <v>165</v>
      </c>
      <c r="B44" s="7" t="s">
        <v>52</v>
      </c>
      <c r="C44" s="11">
        <v>50</v>
      </c>
      <c r="D44" s="7" t="s">
        <v>26</v>
      </c>
      <c r="E44" s="7" t="s">
        <v>25</v>
      </c>
      <c r="F44" s="7" t="s">
        <v>24</v>
      </c>
      <c r="G44" s="11">
        <v>334.66</v>
      </c>
      <c r="H44" s="11">
        <v>624.52</v>
      </c>
      <c r="I44" s="10">
        <v>118652.09</v>
      </c>
      <c r="J44" s="10">
        <v>131044.68</v>
      </c>
      <c r="K44" s="9">
        <v>10.44</v>
      </c>
      <c r="L44" s="8">
        <v>44823</v>
      </c>
      <c r="M44" s="7" t="s">
        <v>23</v>
      </c>
      <c r="N44" s="7" t="s">
        <v>16</v>
      </c>
      <c r="O44" s="7" t="s">
        <v>8</v>
      </c>
      <c r="R44">
        <f>RANK(J44,$J$2:$J$151,0)</f>
        <v>125</v>
      </c>
    </row>
    <row r="45" spans="1:18" ht="18" customHeight="1" x14ac:dyDescent="0.3">
      <c r="A45" s="6" t="s">
        <v>164</v>
      </c>
      <c r="B45" s="2" t="s">
        <v>46</v>
      </c>
      <c r="C45" s="6">
        <v>32</v>
      </c>
      <c r="D45" s="2" t="s">
        <v>20</v>
      </c>
      <c r="E45" s="2" t="s">
        <v>19</v>
      </c>
      <c r="F45" s="2" t="s">
        <v>18</v>
      </c>
      <c r="G45" s="6">
        <v>1400.37</v>
      </c>
      <c r="H45" s="6">
        <v>532.33000000000004</v>
      </c>
      <c r="I45" s="5">
        <v>39969.47</v>
      </c>
      <c r="J45" s="5">
        <v>83551.759999999995</v>
      </c>
      <c r="K45" s="4">
        <v>109.04</v>
      </c>
      <c r="L45" s="12">
        <v>44975</v>
      </c>
      <c r="M45" s="2" t="s">
        <v>17</v>
      </c>
      <c r="N45" s="2" t="s">
        <v>16</v>
      </c>
      <c r="O45" s="2" t="s">
        <v>29</v>
      </c>
      <c r="R45">
        <f>RANK(J45,$J$2:$J$151,0)</f>
        <v>134</v>
      </c>
    </row>
    <row r="46" spans="1:18" ht="18" customHeight="1" x14ac:dyDescent="0.3">
      <c r="A46" s="11" t="s">
        <v>163</v>
      </c>
      <c r="B46" s="7" t="s">
        <v>40</v>
      </c>
      <c r="C46" s="11">
        <v>33</v>
      </c>
      <c r="D46" s="7" t="s">
        <v>13</v>
      </c>
      <c r="E46" s="7" t="s">
        <v>12</v>
      </c>
      <c r="F46" s="7" t="s">
        <v>11</v>
      </c>
      <c r="G46" s="11">
        <v>3524.01</v>
      </c>
      <c r="H46" s="11">
        <v>529.03</v>
      </c>
      <c r="I46" s="10">
        <v>408525.21</v>
      </c>
      <c r="J46" s="10">
        <v>392174.01</v>
      </c>
      <c r="K46" s="9">
        <v>-4</v>
      </c>
      <c r="L46" s="8">
        <v>45219</v>
      </c>
      <c r="M46" s="7" t="s">
        <v>10</v>
      </c>
      <c r="N46" s="7" t="s">
        <v>9</v>
      </c>
      <c r="O46" s="7" t="s">
        <v>0</v>
      </c>
      <c r="R46">
        <f>RANK(J46,$J$2:$J$151,0)</f>
        <v>65</v>
      </c>
    </row>
    <row r="47" spans="1:18" ht="18" customHeight="1" x14ac:dyDescent="0.3">
      <c r="A47" s="6" t="s">
        <v>162</v>
      </c>
      <c r="B47" s="2" t="s">
        <v>34</v>
      </c>
      <c r="C47" s="6">
        <v>29</v>
      </c>
      <c r="D47" s="2" t="s">
        <v>5</v>
      </c>
      <c r="E47" s="2" t="s">
        <v>4</v>
      </c>
      <c r="F47" s="2" t="s">
        <v>3</v>
      </c>
      <c r="G47" s="6">
        <v>3637.5</v>
      </c>
      <c r="H47" s="6">
        <v>663.56</v>
      </c>
      <c r="I47" s="5">
        <v>79347.820000000007</v>
      </c>
      <c r="J47" s="5">
        <v>76712.399999999994</v>
      </c>
      <c r="K47" s="4">
        <v>-3.32</v>
      </c>
      <c r="L47" s="3">
        <v>44881</v>
      </c>
      <c r="M47" s="2" t="s">
        <v>2</v>
      </c>
      <c r="N47" s="2" t="s">
        <v>1</v>
      </c>
      <c r="O47" s="2" t="s">
        <v>0</v>
      </c>
      <c r="R47">
        <f>RANK(J47,$J$2:$J$151,0)</f>
        <v>136</v>
      </c>
    </row>
    <row r="48" spans="1:18" ht="18" customHeight="1" x14ac:dyDescent="0.3">
      <c r="A48" s="11" t="s">
        <v>161</v>
      </c>
      <c r="B48" s="7" t="s">
        <v>27</v>
      </c>
      <c r="C48" s="11">
        <v>63</v>
      </c>
      <c r="D48" s="7" t="s">
        <v>51</v>
      </c>
      <c r="E48" s="7" t="s">
        <v>50</v>
      </c>
      <c r="F48" s="7" t="s">
        <v>49</v>
      </c>
      <c r="G48" s="11">
        <v>1927.26</v>
      </c>
      <c r="H48" s="11">
        <v>296.05</v>
      </c>
      <c r="I48" s="10">
        <v>392229.26</v>
      </c>
      <c r="J48" s="10">
        <v>456006.24</v>
      </c>
      <c r="K48" s="9">
        <v>16.260000000000002</v>
      </c>
      <c r="L48" s="8">
        <v>45076</v>
      </c>
      <c r="M48" s="7" t="s">
        <v>48</v>
      </c>
      <c r="N48" s="7" t="s">
        <v>16</v>
      </c>
      <c r="O48" s="7" t="s">
        <v>8</v>
      </c>
      <c r="R48">
        <f>RANK(J48,$J$2:$J$151,0)</f>
        <v>51</v>
      </c>
    </row>
    <row r="49" spans="1:18" ht="18" customHeight="1" x14ac:dyDescent="0.3">
      <c r="A49" s="6" t="s">
        <v>160</v>
      </c>
      <c r="B49" s="2" t="s">
        <v>21</v>
      </c>
      <c r="C49" s="6">
        <v>61</v>
      </c>
      <c r="D49" s="2" t="s">
        <v>45</v>
      </c>
      <c r="E49" s="2" t="s">
        <v>44</v>
      </c>
      <c r="F49" s="2" t="s">
        <v>43</v>
      </c>
      <c r="G49" s="6">
        <v>847.49</v>
      </c>
      <c r="H49" s="6">
        <v>623.08000000000004</v>
      </c>
      <c r="I49" s="5">
        <v>447076.84</v>
      </c>
      <c r="J49" s="5">
        <v>868548.67</v>
      </c>
      <c r="K49" s="4">
        <v>94.27</v>
      </c>
      <c r="L49" s="3">
        <v>44724</v>
      </c>
      <c r="M49" s="2" t="s">
        <v>42</v>
      </c>
      <c r="N49" s="2" t="s">
        <v>9</v>
      </c>
      <c r="O49" s="2" t="s">
        <v>0</v>
      </c>
      <c r="R49">
        <f>RANK(J49,$J$2:$J$151,0)</f>
        <v>8</v>
      </c>
    </row>
    <row r="50" spans="1:18" ht="18" customHeight="1" x14ac:dyDescent="0.3">
      <c r="A50" s="11" t="s">
        <v>159</v>
      </c>
      <c r="B50" s="7" t="s">
        <v>14</v>
      </c>
      <c r="C50" s="11">
        <v>34</v>
      </c>
      <c r="D50" s="7" t="s">
        <v>39</v>
      </c>
      <c r="E50" s="7" t="s">
        <v>38</v>
      </c>
      <c r="F50" s="7" t="s">
        <v>37</v>
      </c>
      <c r="G50" s="11">
        <v>1571.95</v>
      </c>
      <c r="H50" s="11">
        <v>596.29999999999995</v>
      </c>
      <c r="I50" s="10">
        <v>77550.039999999994</v>
      </c>
      <c r="J50" s="10">
        <v>133224.46</v>
      </c>
      <c r="K50" s="9">
        <v>71.790000000000006</v>
      </c>
      <c r="L50" s="8">
        <v>44898</v>
      </c>
      <c r="M50" s="7" t="s">
        <v>36</v>
      </c>
      <c r="N50" s="7" t="s">
        <v>16</v>
      </c>
      <c r="O50" s="7" t="s">
        <v>8</v>
      </c>
      <c r="R50">
        <f>RANK(J50,$J$2:$J$151,0)</f>
        <v>124</v>
      </c>
    </row>
    <row r="51" spans="1:18" ht="18" customHeight="1" x14ac:dyDescent="0.3">
      <c r="A51" s="6" t="s">
        <v>158</v>
      </c>
      <c r="B51" s="2" t="s">
        <v>6</v>
      </c>
      <c r="C51" s="6">
        <v>22</v>
      </c>
      <c r="D51" s="2" t="s">
        <v>33</v>
      </c>
      <c r="E51" s="2" t="s">
        <v>32</v>
      </c>
      <c r="F51" s="2" t="s">
        <v>31</v>
      </c>
      <c r="G51" s="6">
        <v>1193.92</v>
      </c>
      <c r="H51" s="6">
        <v>735.11</v>
      </c>
      <c r="I51" s="5">
        <v>397673.93</v>
      </c>
      <c r="J51" s="5">
        <v>758257.34</v>
      </c>
      <c r="K51" s="4">
        <v>90.67</v>
      </c>
      <c r="L51" s="3">
        <v>44313</v>
      </c>
      <c r="M51" s="2" t="s">
        <v>30</v>
      </c>
      <c r="N51" s="2" t="s">
        <v>1</v>
      </c>
      <c r="O51" s="2" t="s">
        <v>29</v>
      </c>
      <c r="R51">
        <f>RANK(J51,$J$2:$J$151,0)</f>
        <v>15</v>
      </c>
    </row>
    <row r="52" spans="1:18" ht="18" customHeight="1" x14ac:dyDescent="0.3">
      <c r="A52" s="11" t="s">
        <v>157</v>
      </c>
      <c r="B52" s="7" t="s">
        <v>76</v>
      </c>
      <c r="C52" s="11">
        <v>58</v>
      </c>
      <c r="D52" s="7" t="s">
        <v>26</v>
      </c>
      <c r="E52" s="7" t="s">
        <v>25</v>
      </c>
      <c r="F52" s="7" t="s">
        <v>24</v>
      </c>
      <c r="G52" s="11">
        <v>2247.0500000000002</v>
      </c>
      <c r="H52" s="11">
        <v>638.49</v>
      </c>
      <c r="I52" s="10">
        <v>437727.13</v>
      </c>
      <c r="J52" s="10">
        <v>419448.28</v>
      </c>
      <c r="K52" s="9">
        <v>-4.18</v>
      </c>
      <c r="L52" s="8">
        <v>44161</v>
      </c>
      <c r="M52" s="7" t="s">
        <v>23</v>
      </c>
      <c r="N52" s="7" t="s">
        <v>16</v>
      </c>
      <c r="O52" s="7" t="s">
        <v>0</v>
      </c>
      <c r="R52">
        <f>RANK(J52,$J$2:$J$151,0)</f>
        <v>59</v>
      </c>
    </row>
    <row r="53" spans="1:18" ht="18" customHeight="1" x14ac:dyDescent="0.3">
      <c r="A53" s="6" t="s">
        <v>156</v>
      </c>
      <c r="B53" s="2" t="s">
        <v>74</v>
      </c>
      <c r="C53" s="6">
        <v>32</v>
      </c>
      <c r="D53" s="2" t="s">
        <v>20</v>
      </c>
      <c r="E53" s="2" t="s">
        <v>19</v>
      </c>
      <c r="F53" s="2" t="s">
        <v>18</v>
      </c>
      <c r="G53" s="6">
        <v>3881.52</v>
      </c>
      <c r="H53" s="6">
        <v>311.02999999999997</v>
      </c>
      <c r="I53" s="5">
        <v>160131.20000000001</v>
      </c>
      <c r="J53" s="5">
        <v>145969.32999999999</v>
      </c>
      <c r="K53" s="4">
        <v>-8.84</v>
      </c>
      <c r="L53" s="12">
        <v>44643</v>
      </c>
      <c r="M53" s="2" t="s">
        <v>17</v>
      </c>
      <c r="N53" s="2" t="s">
        <v>16</v>
      </c>
      <c r="O53" s="2" t="s">
        <v>0</v>
      </c>
      <c r="R53">
        <f>RANK(J53,$J$2:$J$151,0)</f>
        <v>118</v>
      </c>
    </row>
    <row r="54" spans="1:18" ht="18" customHeight="1" x14ac:dyDescent="0.3">
      <c r="A54" s="11" t="s">
        <v>155</v>
      </c>
      <c r="B54" s="7" t="s">
        <v>72</v>
      </c>
      <c r="C54" s="11">
        <v>23</v>
      </c>
      <c r="D54" s="7" t="s">
        <v>13</v>
      </c>
      <c r="E54" s="7" t="s">
        <v>12</v>
      </c>
      <c r="F54" s="7" t="s">
        <v>11</v>
      </c>
      <c r="G54" s="11">
        <v>1538.16</v>
      </c>
      <c r="H54" s="11">
        <v>143.88999999999999</v>
      </c>
      <c r="I54" s="10">
        <v>472103.53</v>
      </c>
      <c r="J54" s="10">
        <v>962756.28</v>
      </c>
      <c r="K54" s="9">
        <v>103.93</v>
      </c>
      <c r="L54" s="8">
        <v>44969</v>
      </c>
      <c r="M54" s="7" t="s">
        <v>10</v>
      </c>
      <c r="N54" s="7" t="s">
        <v>9</v>
      </c>
      <c r="O54" s="7" t="s">
        <v>8</v>
      </c>
      <c r="R54">
        <f>RANK(J54,$J$2:$J$151,0)</f>
        <v>3</v>
      </c>
    </row>
    <row r="55" spans="1:18" ht="18" customHeight="1" x14ac:dyDescent="0.3">
      <c r="A55" s="6" t="s">
        <v>154</v>
      </c>
      <c r="B55" s="2" t="s">
        <v>70</v>
      </c>
      <c r="C55" s="6">
        <v>40</v>
      </c>
      <c r="D55" s="2" t="s">
        <v>5</v>
      </c>
      <c r="E55" s="2" t="s">
        <v>4</v>
      </c>
      <c r="F55" s="2" t="s">
        <v>3</v>
      </c>
      <c r="G55" s="6">
        <v>1486.01</v>
      </c>
      <c r="H55" s="6">
        <v>404.11</v>
      </c>
      <c r="I55" s="5">
        <v>401801.53</v>
      </c>
      <c r="J55" s="5">
        <v>363388.44</v>
      </c>
      <c r="K55" s="4">
        <v>-9.56</v>
      </c>
      <c r="L55" s="3">
        <v>44166</v>
      </c>
      <c r="M55" s="2" t="s">
        <v>2</v>
      </c>
      <c r="N55" s="2" t="s">
        <v>1</v>
      </c>
      <c r="O55" s="2" t="s">
        <v>0</v>
      </c>
      <c r="R55">
        <f>RANK(J55,$J$2:$J$151,0)</f>
        <v>72</v>
      </c>
    </row>
    <row r="56" spans="1:18" ht="18" customHeight="1" x14ac:dyDescent="0.3">
      <c r="A56" s="11" t="s">
        <v>153</v>
      </c>
      <c r="B56" s="7" t="s">
        <v>68</v>
      </c>
      <c r="C56" s="11">
        <v>60</v>
      </c>
      <c r="D56" s="7" t="s">
        <v>51</v>
      </c>
      <c r="E56" s="7" t="s">
        <v>50</v>
      </c>
      <c r="F56" s="7" t="s">
        <v>49</v>
      </c>
      <c r="G56" s="11">
        <v>3433.59</v>
      </c>
      <c r="H56" s="11">
        <v>680.33</v>
      </c>
      <c r="I56" s="10">
        <v>333675.46000000002</v>
      </c>
      <c r="J56" s="10">
        <v>646466.03</v>
      </c>
      <c r="K56" s="9">
        <v>93.74</v>
      </c>
      <c r="L56" s="8">
        <v>43901</v>
      </c>
      <c r="M56" s="7" t="s">
        <v>48</v>
      </c>
      <c r="N56" s="7" t="s">
        <v>16</v>
      </c>
      <c r="O56" s="7" t="s">
        <v>8</v>
      </c>
      <c r="R56">
        <f>RANK(J56,$J$2:$J$151,0)</f>
        <v>28</v>
      </c>
    </row>
    <row r="57" spans="1:18" ht="18" customHeight="1" x14ac:dyDescent="0.3">
      <c r="A57" s="6" t="s">
        <v>152</v>
      </c>
      <c r="B57" s="2" t="s">
        <v>66</v>
      </c>
      <c r="C57" s="6">
        <v>46</v>
      </c>
      <c r="D57" s="2" t="s">
        <v>45</v>
      </c>
      <c r="E57" s="2" t="s">
        <v>44</v>
      </c>
      <c r="F57" s="2" t="s">
        <v>43</v>
      </c>
      <c r="G57" s="6">
        <v>4078.75</v>
      </c>
      <c r="H57" s="6">
        <v>496.01</v>
      </c>
      <c r="I57" s="5">
        <v>276248.3</v>
      </c>
      <c r="J57" s="5">
        <v>493490.61</v>
      </c>
      <c r="K57" s="4">
        <v>78.64</v>
      </c>
      <c r="L57" s="3">
        <v>43868</v>
      </c>
      <c r="M57" s="2" t="s">
        <v>42</v>
      </c>
      <c r="N57" s="2" t="s">
        <v>9</v>
      </c>
      <c r="O57" s="2" t="s">
        <v>29</v>
      </c>
      <c r="R57">
        <f>RANK(J57,$J$2:$J$151,0)</f>
        <v>45</v>
      </c>
    </row>
    <row r="58" spans="1:18" ht="18" customHeight="1" x14ac:dyDescent="0.3">
      <c r="A58" s="11" t="s">
        <v>151</v>
      </c>
      <c r="B58" s="7" t="s">
        <v>64</v>
      </c>
      <c r="C58" s="11">
        <v>40</v>
      </c>
      <c r="D58" s="7" t="s">
        <v>39</v>
      </c>
      <c r="E58" s="7" t="s">
        <v>38</v>
      </c>
      <c r="F58" s="7" t="s">
        <v>37</v>
      </c>
      <c r="G58" s="11">
        <v>3707.8</v>
      </c>
      <c r="H58" s="11">
        <v>346.9</v>
      </c>
      <c r="I58" s="10">
        <v>359228.27</v>
      </c>
      <c r="J58" s="10">
        <v>681062.15</v>
      </c>
      <c r="K58" s="9">
        <v>89.59</v>
      </c>
      <c r="L58" s="8">
        <v>44187</v>
      </c>
      <c r="M58" s="7" t="s">
        <v>36</v>
      </c>
      <c r="N58" s="7" t="s">
        <v>16</v>
      </c>
      <c r="O58" s="7" t="s">
        <v>0</v>
      </c>
      <c r="R58">
        <f>RANK(J58,$J$2:$J$151,0)</f>
        <v>22</v>
      </c>
    </row>
    <row r="59" spans="1:18" ht="18" customHeight="1" x14ac:dyDescent="0.3">
      <c r="A59" s="6" t="s">
        <v>150</v>
      </c>
      <c r="B59" s="2" t="s">
        <v>62</v>
      </c>
      <c r="C59" s="6">
        <v>55</v>
      </c>
      <c r="D59" s="2" t="s">
        <v>33</v>
      </c>
      <c r="E59" s="2" t="s">
        <v>32</v>
      </c>
      <c r="F59" s="2" t="s">
        <v>31</v>
      </c>
      <c r="G59" s="6">
        <v>2061.09</v>
      </c>
      <c r="H59" s="6">
        <v>62.57</v>
      </c>
      <c r="I59" s="5">
        <v>124673.78</v>
      </c>
      <c r="J59" s="5">
        <v>149700.69</v>
      </c>
      <c r="K59" s="4">
        <v>20.07</v>
      </c>
      <c r="L59" s="3">
        <v>44992</v>
      </c>
      <c r="M59" s="2" t="s">
        <v>30</v>
      </c>
      <c r="N59" s="2" t="s">
        <v>1</v>
      </c>
      <c r="O59" s="2" t="s">
        <v>0</v>
      </c>
      <c r="R59">
        <f>RANK(J59,$J$2:$J$151,0)</f>
        <v>116</v>
      </c>
    </row>
    <row r="60" spans="1:18" ht="18" customHeight="1" x14ac:dyDescent="0.3">
      <c r="A60" s="11" t="s">
        <v>149</v>
      </c>
      <c r="B60" s="7" t="s">
        <v>60</v>
      </c>
      <c r="C60" s="11">
        <v>28</v>
      </c>
      <c r="D60" s="7" t="s">
        <v>26</v>
      </c>
      <c r="E60" s="7" t="s">
        <v>25</v>
      </c>
      <c r="F60" s="7" t="s">
        <v>24</v>
      </c>
      <c r="G60" s="11">
        <v>2201.8200000000002</v>
      </c>
      <c r="H60" s="11">
        <v>461.14</v>
      </c>
      <c r="I60" s="10">
        <v>19213.919999999998</v>
      </c>
      <c r="J60" s="10">
        <v>21572.400000000001</v>
      </c>
      <c r="K60" s="9">
        <v>12.27</v>
      </c>
      <c r="L60" s="8">
        <v>44199</v>
      </c>
      <c r="M60" s="7" t="s">
        <v>23</v>
      </c>
      <c r="N60" s="7" t="s">
        <v>16</v>
      </c>
      <c r="O60" s="7" t="s">
        <v>8</v>
      </c>
      <c r="R60">
        <f>RANK(J60,$J$2:$J$151,0)</f>
        <v>146</v>
      </c>
    </row>
    <row r="61" spans="1:18" ht="18" customHeight="1" x14ac:dyDescent="0.3">
      <c r="A61" s="6" t="s">
        <v>148</v>
      </c>
      <c r="B61" s="2" t="s">
        <v>58</v>
      </c>
      <c r="C61" s="6">
        <v>62</v>
      </c>
      <c r="D61" s="2" t="s">
        <v>20</v>
      </c>
      <c r="E61" s="2" t="s">
        <v>19</v>
      </c>
      <c r="F61" s="2" t="s">
        <v>18</v>
      </c>
      <c r="G61" s="6">
        <v>1537.33</v>
      </c>
      <c r="H61" s="6">
        <v>791.58</v>
      </c>
      <c r="I61" s="5">
        <v>131026.45</v>
      </c>
      <c r="J61" s="5">
        <v>213922.71</v>
      </c>
      <c r="K61" s="4">
        <v>63.27</v>
      </c>
      <c r="L61" s="12">
        <v>44712</v>
      </c>
      <c r="M61" s="2" t="s">
        <v>17</v>
      </c>
      <c r="N61" s="2" t="s">
        <v>16</v>
      </c>
      <c r="O61" s="2" t="s">
        <v>0</v>
      </c>
      <c r="R61">
        <f>RANK(J61,$J$2:$J$151,0)</f>
        <v>101</v>
      </c>
    </row>
    <row r="62" spans="1:18" ht="18" customHeight="1" x14ac:dyDescent="0.3">
      <c r="A62" s="11" t="s">
        <v>147</v>
      </c>
      <c r="B62" s="7" t="s">
        <v>56</v>
      </c>
      <c r="C62" s="11">
        <v>31</v>
      </c>
      <c r="D62" s="7" t="s">
        <v>13</v>
      </c>
      <c r="E62" s="7" t="s">
        <v>12</v>
      </c>
      <c r="F62" s="7" t="s">
        <v>11</v>
      </c>
      <c r="G62" s="11">
        <v>65.94</v>
      </c>
      <c r="H62" s="11">
        <v>521.99</v>
      </c>
      <c r="I62" s="10">
        <v>253974.15</v>
      </c>
      <c r="J62" s="10">
        <v>537123.48</v>
      </c>
      <c r="K62" s="9">
        <v>111.49</v>
      </c>
      <c r="L62" s="8">
        <v>44744</v>
      </c>
      <c r="M62" s="7" t="s">
        <v>10</v>
      </c>
      <c r="N62" s="7" t="s">
        <v>9</v>
      </c>
      <c r="O62" s="7" t="s">
        <v>8</v>
      </c>
      <c r="R62">
        <f>RANK(J62,$J$2:$J$151,0)</f>
        <v>37</v>
      </c>
    </row>
    <row r="63" spans="1:18" ht="18" customHeight="1" x14ac:dyDescent="0.3">
      <c r="A63" s="6" t="s">
        <v>146</v>
      </c>
      <c r="B63" s="2" t="s">
        <v>54</v>
      </c>
      <c r="C63" s="6">
        <v>26</v>
      </c>
      <c r="D63" s="2" t="s">
        <v>5</v>
      </c>
      <c r="E63" s="2" t="s">
        <v>4</v>
      </c>
      <c r="F63" s="2" t="s">
        <v>3</v>
      </c>
      <c r="G63" s="6">
        <v>869.9</v>
      </c>
      <c r="H63" s="6">
        <v>201.99</v>
      </c>
      <c r="I63" s="5">
        <v>220159.67</v>
      </c>
      <c r="J63" s="5">
        <v>329255.81</v>
      </c>
      <c r="K63" s="4">
        <v>49.55</v>
      </c>
      <c r="L63" s="3">
        <v>45084</v>
      </c>
      <c r="M63" s="2" t="s">
        <v>2</v>
      </c>
      <c r="N63" s="2" t="s">
        <v>1</v>
      </c>
      <c r="O63" s="2" t="s">
        <v>29</v>
      </c>
      <c r="R63">
        <f>RANK(J63,$J$2:$J$151,0)</f>
        <v>81</v>
      </c>
    </row>
    <row r="64" spans="1:18" ht="18" customHeight="1" x14ac:dyDescent="0.3">
      <c r="A64" s="11" t="s">
        <v>145</v>
      </c>
      <c r="B64" s="7" t="s">
        <v>52</v>
      </c>
      <c r="C64" s="11">
        <v>27</v>
      </c>
      <c r="D64" s="7" t="s">
        <v>51</v>
      </c>
      <c r="E64" s="7" t="s">
        <v>50</v>
      </c>
      <c r="F64" s="7" t="s">
        <v>49</v>
      </c>
      <c r="G64" s="11">
        <v>1879.4</v>
      </c>
      <c r="H64" s="11">
        <v>144.71</v>
      </c>
      <c r="I64" s="10">
        <v>368149.11</v>
      </c>
      <c r="J64" s="10">
        <v>553793.49</v>
      </c>
      <c r="K64" s="9">
        <v>50.43</v>
      </c>
      <c r="L64" s="8">
        <v>44036</v>
      </c>
      <c r="M64" s="7" t="s">
        <v>48</v>
      </c>
      <c r="N64" s="7" t="s">
        <v>16</v>
      </c>
      <c r="O64" s="7" t="s">
        <v>0</v>
      </c>
      <c r="R64">
        <f>RANK(J64,$J$2:$J$151,0)</f>
        <v>34</v>
      </c>
    </row>
    <row r="65" spans="1:18" ht="18" customHeight="1" x14ac:dyDescent="0.3">
      <c r="A65" s="6" t="s">
        <v>144</v>
      </c>
      <c r="B65" s="2" t="s">
        <v>46</v>
      </c>
      <c r="C65" s="6">
        <v>49</v>
      </c>
      <c r="D65" s="2" t="s">
        <v>45</v>
      </c>
      <c r="E65" s="2" t="s">
        <v>44</v>
      </c>
      <c r="F65" s="2" t="s">
        <v>43</v>
      </c>
      <c r="G65" s="6">
        <v>3076.36</v>
      </c>
      <c r="H65" s="6">
        <v>726.86</v>
      </c>
      <c r="I65" s="5">
        <v>90921.21</v>
      </c>
      <c r="J65" s="5">
        <v>135637.51</v>
      </c>
      <c r="K65" s="4">
        <v>49.18</v>
      </c>
      <c r="L65" s="3">
        <v>44339</v>
      </c>
      <c r="M65" s="2" t="s">
        <v>42</v>
      </c>
      <c r="N65" s="2" t="s">
        <v>9</v>
      </c>
      <c r="O65" s="2" t="s">
        <v>0</v>
      </c>
      <c r="R65">
        <f>RANK(J65,$J$2:$J$151,0)</f>
        <v>122</v>
      </c>
    </row>
    <row r="66" spans="1:18" ht="18" customHeight="1" x14ac:dyDescent="0.3">
      <c r="A66" s="11" t="s">
        <v>143</v>
      </c>
      <c r="B66" s="7" t="s">
        <v>40</v>
      </c>
      <c r="C66" s="11">
        <v>33</v>
      </c>
      <c r="D66" s="7" t="s">
        <v>39</v>
      </c>
      <c r="E66" s="7" t="s">
        <v>38</v>
      </c>
      <c r="F66" s="7" t="s">
        <v>37</v>
      </c>
      <c r="G66" s="11">
        <v>4212.46</v>
      </c>
      <c r="H66" s="11">
        <v>220.09</v>
      </c>
      <c r="I66" s="10">
        <v>327479.15000000002</v>
      </c>
      <c r="J66" s="10">
        <v>575557.81999999995</v>
      </c>
      <c r="K66" s="9">
        <v>75.75</v>
      </c>
      <c r="L66" s="8">
        <v>44864</v>
      </c>
      <c r="M66" s="7" t="s">
        <v>36</v>
      </c>
      <c r="N66" s="7" t="s">
        <v>16</v>
      </c>
      <c r="O66" s="7" t="s">
        <v>8</v>
      </c>
      <c r="R66">
        <f>RANK(J66,$J$2:$J$151,0)</f>
        <v>30</v>
      </c>
    </row>
    <row r="67" spans="1:18" ht="18" customHeight="1" x14ac:dyDescent="0.3">
      <c r="A67" s="6" t="s">
        <v>142</v>
      </c>
      <c r="B67" s="2" t="s">
        <v>34</v>
      </c>
      <c r="C67" s="6">
        <v>56</v>
      </c>
      <c r="D67" s="2" t="s">
        <v>33</v>
      </c>
      <c r="E67" s="2" t="s">
        <v>32</v>
      </c>
      <c r="F67" s="2" t="s">
        <v>31</v>
      </c>
      <c r="G67" s="6">
        <v>432.38</v>
      </c>
      <c r="H67" s="6">
        <v>207.59</v>
      </c>
      <c r="I67" s="5">
        <v>117253.67</v>
      </c>
      <c r="J67" s="5">
        <v>211260.32</v>
      </c>
      <c r="K67" s="4">
        <v>80.17</v>
      </c>
      <c r="L67" s="3">
        <v>44640</v>
      </c>
      <c r="M67" s="2" t="s">
        <v>30</v>
      </c>
      <c r="N67" s="2" t="s">
        <v>1</v>
      </c>
      <c r="O67" s="2" t="s">
        <v>0</v>
      </c>
      <c r="R67">
        <f>RANK(J67,$J$2:$J$151,0)</f>
        <v>102</v>
      </c>
    </row>
    <row r="68" spans="1:18" ht="18" customHeight="1" x14ac:dyDescent="0.3">
      <c r="A68" s="11" t="s">
        <v>141</v>
      </c>
      <c r="B68" s="7" t="s">
        <v>27</v>
      </c>
      <c r="C68" s="11">
        <v>55</v>
      </c>
      <c r="D68" s="7" t="s">
        <v>26</v>
      </c>
      <c r="E68" s="7" t="s">
        <v>25</v>
      </c>
      <c r="F68" s="7" t="s">
        <v>24</v>
      </c>
      <c r="G68" s="11">
        <v>2828.94</v>
      </c>
      <c r="H68" s="11">
        <v>208.47</v>
      </c>
      <c r="I68" s="10">
        <v>165397.71</v>
      </c>
      <c r="J68" s="10">
        <v>266653.53999999998</v>
      </c>
      <c r="K68" s="9">
        <v>61.22</v>
      </c>
      <c r="L68" s="8">
        <v>44846</v>
      </c>
      <c r="M68" s="7" t="s">
        <v>23</v>
      </c>
      <c r="N68" s="7" t="s">
        <v>16</v>
      </c>
      <c r="O68" s="7" t="s">
        <v>8</v>
      </c>
      <c r="R68">
        <f>RANK(J68,$J$2:$J$151,0)</f>
        <v>91</v>
      </c>
    </row>
    <row r="69" spans="1:18" ht="18" customHeight="1" x14ac:dyDescent="0.3">
      <c r="A69" s="6" t="s">
        <v>140</v>
      </c>
      <c r="B69" s="2" t="s">
        <v>21</v>
      </c>
      <c r="C69" s="6">
        <v>34</v>
      </c>
      <c r="D69" s="2" t="s">
        <v>20</v>
      </c>
      <c r="E69" s="2" t="s">
        <v>19</v>
      </c>
      <c r="F69" s="2" t="s">
        <v>18</v>
      </c>
      <c r="G69" s="6">
        <v>530.34</v>
      </c>
      <c r="H69" s="6">
        <v>509.73</v>
      </c>
      <c r="I69" s="5">
        <v>471935.99</v>
      </c>
      <c r="J69" s="5">
        <v>679409.93</v>
      </c>
      <c r="K69" s="4">
        <v>43.96</v>
      </c>
      <c r="L69" s="12">
        <v>44476</v>
      </c>
      <c r="M69" s="2" t="s">
        <v>17</v>
      </c>
      <c r="N69" s="2" t="s">
        <v>16</v>
      </c>
      <c r="O69" s="2" t="s">
        <v>29</v>
      </c>
      <c r="R69">
        <f>RANK(J69,$J$2:$J$151,0)</f>
        <v>24</v>
      </c>
    </row>
    <row r="70" spans="1:18" ht="18" customHeight="1" x14ac:dyDescent="0.3">
      <c r="A70" s="11" t="s">
        <v>139</v>
      </c>
      <c r="B70" s="7" t="s">
        <v>14</v>
      </c>
      <c r="C70" s="11">
        <v>34</v>
      </c>
      <c r="D70" s="7" t="s">
        <v>13</v>
      </c>
      <c r="E70" s="7" t="s">
        <v>12</v>
      </c>
      <c r="F70" s="7" t="s">
        <v>11</v>
      </c>
      <c r="G70" s="11">
        <v>4629.78</v>
      </c>
      <c r="H70" s="11">
        <v>537.16999999999996</v>
      </c>
      <c r="I70" s="10">
        <v>96633.11</v>
      </c>
      <c r="J70" s="10">
        <v>199577.08</v>
      </c>
      <c r="K70" s="9">
        <v>106.53</v>
      </c>
      <c r="L70" s="8">
        <v>45206</v>
      </c>
      <c r="M70" s="7" t="s">
        <v>10</v>
      </c>
      <c r="N70" s="7" t="s">
        <v>9</v>
      </c>
      <c r="O70" s="7" t="s">
        <v>0</v>
      </c>
      <c r="R70">
        <f>RANK(J70,$J$2:$J$151,0)</f>
        <v>106</v>
      </c>
    </row>
    <row r="71" spans="1:18" ht="18" customHeight="1" x14ac:dyDescent="0.3">
      <c r="A71" s="6" t="s">
        <v>138</v>
      </c>
      <c r="B71" s="2" t="s">
        <v>6</v>
      </c>
      <c r="C71" s="6">
        <v>38</v>
      </c>
      <c r="D71" s="2" t="s">
        <v>5</v>
      </c>
      <c r="E71" s="2" t="s">
        <v>4</v>
      </c>
      <c r="F71" s="2" t="s">
        <v>3</v>
      </c>
      <c r="G71" s="6">
        <v>100.18</v>
      </c>
      <c r="H71" s="6">
        <v>433.65</v>
      </c>
      <c r="I71" s="5">
        <v>102138.81</v>
      </c>
      <c r="J71" s="5">
        <v>137083.45000000001</v>
      </c>
      <c r="K71" s="4">
        <v>34.21</v>
      </c>
      <c r="L71" s="3">
        <v>44157</v>
      </c>
      <c r="M71" s="2" t="s">
        <v>2</v>
      </c>
      <c r="N71" s="2" t="s">
        <v>1</v>
      </c>
      <c r="O71" s="2" t="s">
        <v>0</v>
      </c>
      <c r="R71">
        <f>RANK(J71,$J$2:$J$151,0)</f>
        <v>121</v>
      </c>
    </row>
    <row r="72" spans="1:18" ht="18" customHeight="1" x14ac:dyDescent="0.3">
      <c r="A72" s="11" t="s">
        <v>137</v>
      </c>
      <c r="B72" s="7" t="s">
        <v>76</v>
      </c>
      <c r="C72" s="11">
        <v>44</v>
      </c>
      <c r="D72" s="7" t="s">
        <v>51</v>
      </c>
      <c r="E72" s="7" t="s">
        <v>50</v>
      </c>
      <c r="F72" s="7" t="s">
        <v>49</v>
      </c>
      <c r="G72" s="11">
        <v>1976.73</v>
      </c>
      <c r="H72" s="11">
        <v>563.34</v>
      </c>
      <c r="I72" s="10">
        <v>267773.82</v>
      </c>
      <c r="J72" s="10">
        <v>299224.83</v>
      </c>
      <c r="K72" s="9">
        <v>11.75</v>
      </c>
      <c r="L72" s="8">
        <v>43945</v>
      </c>
      <c r="M72" s="7" t="s">
        <v>48</v>
      </c>
      <c r="N72" s="7" t="s">
        <v>16</v>
      </c>
      <c r="O72" s="7" t="s">
        <v>8</v>
      </c>
      <c r="R72">
        <f>RANK(J72,$J$2:$J$151,0)</f>
        <v>83</v>
      </c>
    </row>
    <row r="73" spans="1:18" ht="18" customHeight="1" x14ac:dyDescent="0.3">
      <c r="A73" s="6" t="s">
        <v>136</v>
      </c>
      <c r="B73" s="2" t="s">
        <v>74</v>
      </c>
      <c r="C73" s="6">
        <v>23</v>
      </c>
      <c r="D73" s="2" t="s">
        <v>45</v>
      </c>
      <c r="E73" s="2" t="s">
        <v>44</v>
      </c>
      <c r="F73" s="2" t="s">
        <v>43</v>
      </c>
      <c r="G73" s="6">
        <v>1807</v>
      </c>
      <c r="H73" s="6">
        <v>130.09</v>
      </c>
      <c r="I73" s="5">
        <v>43768.35</v>
      </c>
      <c r="J73" s="5">
        <v>88086.29</v>
      </c>
      <c r="K73" s="4">
        <v>101.26</v>
      </c>
      <c r="L73" s="3">
        <v>43867</v>
      </c>
      <c r="M73" s="2" t="s">
        <v>42</v>
      </c>
      <c r="N73" s="2" t="s">
        <v>9</v>
      </c>
      <c r="O73" s="2" t="s">
        <v>0</v>
      </c>
      <c r="R73">
        <f>RANK(J73,$J$2:$J$151,0)</f>
        <v>133</v>
      </c>
    </row>
    <row r="74" spans="1:18" ht="18" customHeight="1" x14ac:dyDescent="0.3">
      <c r="A74" s="11" t="s">
        <v>135</v>
      </c>
      <c r="B74" s="7" t="s">
        <v>72</v>
      </c>
      <c r="C74" s="11">
        <v>44</v>
      </c>
      <c r="D74" s="7" t="s">
        <v>39</v>
      </c>
      <c r="E74" s="7" t="s">
        <v>38</v>
      </c>
      <c r="F74" s="7" t="s">
        <v>37</v>
      </c>
      <c r="G74" s="11">
        <v>4709.75</v>
      </c>
      <c r="H74" s="11">
        <v>714.08</v>
      </c>
      <c r="I74" s="10">
        <v>126253.84</v>
      </c>
      <c r="J74" s="10">
        <v>133468.37</v>
      </c>
      <c r="K74" s="9">
        <v>5.71</v>
      </c>
      <c r="L74" s="8">
        <v>43982</v>
      </c>
      <c r="M74" s="7" t="s">
        <v>36</v>
      </c>
      <c r="N74" s="7" t="s">
        <v>16</v>
      </c>
      <c r="O74" s="7" t="s">
        <v>8</v>
      </c>
      <c r="R74">
        <f>RANK(J74,$J$2:$J$151,0)</f>
        <v>123</v>
      </c>
    </row>
    <row r="75" spans="1:18" ht="18" customHeight="1" x14ac:dyDescent="0.3">
      <c r="A75" s="6" t="s">
        <v>134</v>
      </c>
      <c r="B75" s="2" t="s">
        <v>70</v>
      </c>
      <c r="C75" s="6">
        <v>23</v>
      </c>
      <c r="D75" s="2" t="s">
        <v>33</v>
      </c>
      <c r="E75" s="2" t="s">
        <v>32</v>
      </c>
      <c r="F75" s="2" t="s">
        <v>31</v>
      </c>
      <c r="G75" s="6">
        <v>193.79</v>
      </c>
      <c r="H75" s="6">
        <v>185.26</v>
      </c>
      <c r="I75" s="5">
        <v>175062.37</v>
      </c>
      <c r="J75" s="5">
        <v>209285.52</v>
      </c>
      <c r="K75" s="4">
        <v>19.55</v>
      </c>
      <c r="L75" s="3">
        <v>43975</v>
      </c>
      <c r="M75" s="2" t="s">
        <v>30</v>
      </c>
      <c r="N75" s="2" t="s">
        <v>1</v>
      </c>
      <c r="O75" s="2" t="s">
        <v>29</v>
      </c>
      <c r="R75">
        <f>RANK(J75,$J$2:$J$151,0)</f>
        <v>104</v>
      </c>
    </row>
    <row r="76" spans="1:18" ht="18" customHeight="1" x14ac:dyDescent="0.3">
      <c r="A76" s="11" t="s">
        <v>133</v>
      </c>
      <c r="B76" s="7" t="s">
        <v>68</v>
      </c>
      <c r="C76" s="11">
        <v>63</v>
      </c>
      <c r="D76" s="7" t="s">
        <v>26</v>
      </c>
      <c r="E76" s="7" t="s">
        <v>25</v>
      </c>
      <c r="F76" s="7" t="s">
        <v>24</v>
      </c>
      <c r="G76" s="11">
        <v>53.68</v>
      </c>
      <c r="H76" s="11">
        <v>108.89</v>
      </c>
      <c r="I76" s="10">
        <v>220744.46</v>
      </c>
      <c r="J76" s="10">
        <v>393815.08</v>
      </c>
      <c r="K76" s="9">
        <v>78.400000000000006</v>
      </c>
      <c r="L76" s="8">
        <v>44588</v>
      </c>
      <c r="M76" s="7" t="s">
        <v>23</v>
      </c>
      <c r="N76" s="7" t="s">
        <v>16</v>
      </c>
      <c r="O76" s="7" t="s">
        <v>0</v>
      </c>
      <c r="R76">
        <f>RANK(J76,$J$2:$J$151,0)</f>
        <v>64</v>
      </c>
    </row>
    <row r="77" spans="1:18" ht="18" customHeight="1" x14ac:dyDescent="0.3">
      <c r="A77" s="6" t="s">
        <v>132</v>
      </c>
      <c r="B77" s="2" t="s">
        <v>66</v>
      </c>
      <c r="C77" s="6">
        <v>53</v>
      </c>
      <c r="D77" s="2" t="s">
        <v>20</v>
      </c>
      <c r="E77" s="2" t="s">
        <v>19</v>
      </c>
      <c r="F77" s="2" t="s">
        <v>18</v>
      </c>
      <c r="G77" s="6">
        <v>2147.56</v>
      </c>
      <c r="H77" s="6">
        <v>703.34</v>
      </c>
      <c r="I77" s="5">
        <v>384998.78</v>
      </c>
      <c r="J77" s="5">
        <v>797261.59</v>
      </c>
      <c r="K77" s="4">
        <v>107.08</v>
      </c>
      <c r="L77" s="12">
        <v>44369</v>
      </c>
      <c r="M77" s="2" t="s">
        <v>17</v>
      </c>
      <c r="N77" s="2" t="s">
        <v>16</v>
      </c>
      <c r="O77" s="2" t="s">
        <v>0</v>
      </c>
      <c r="R77">
        <f>RANK(J77,$J$2:$J$151,0)</f>
        <v>13</v>
      </c>
    </row>
    <row r="78" spans="1:18" ht="18" customHeight="1" x14ac:dyDescent="0.3">
      <c r="A78" s="11" t="s">
        <v>131</v>
      </c>
      <c r="B78" s="7" t="s">
        <v>64</v>
      </c>
      <c r="C78" s="11">
        <v>42</v>
      </c>
      <c r="D78" s="7" t="s">
        <v>13</v>
      </c>
      <c r="E78" s="7" t="s">
        <v>12</v>
      </c>
      <c r="F78" s="7" t="s">
        <v>11</v>
      </c>
      <c r="G78" s="11">
        <v>3574.77</v>
      </c>
      <c r="H78" s="11">
        <v>650.54999999999995</v>
      </c>
      <c r="I78" s="10">
        <v>140269.19</v>
      </c>
      <c r="J78" s="10">
        <v>165334.06</v>
      </c>
      <c r="K78" s="9">
        <v>17.87</v>
      </c>
      <c r="L78" s="8">
        <v>43899</v>
      </c>
      <c r="M78" s="7" t="s">
        <v>10</v>
      </c>
      <c r="N78" s="7" t="s">
        <v>9</v>
      </c>
      <c r="O78" s="7" t="s">
        <v>8</v>
      </c>
      <c r="R78">
        <f>RANK(J78,$J$2:$J$151,0)</f>
        <v>113</v>
      </c>
    </row>
    <row r="79" spans="1:18" ht="18" customHeight="1" x14ac:dyDescent="0.3">
      <c r="A79" s="6" t="s">
        <v>130</v>
      </c>
      <c r="B79" s="2" t="s">
        <v>62</v>
      </c>
      <c r="C79" s="6">
        <v>36</v>
      </c>
      <c r="D79" s="2" t="s">
        <v>5</v>
      </c>
      <c r="E79" s="2" t="s">
        <v>4</v>
      </c>
      <c r="F79" s="2" t="s">
        <v>3</v>
      </c>
      <c r="G79" s="6">
        <v>1371.94</v>
      </c>
      <c r="H79" s="6">
        <v>504.32</v>
      </c>
      <c r="I79" s="5">
        <v>139135.67999999999</v>
      </c>
      <c r="J79" s="5">
        <v>175895.05</v>
      </c>
      <c r="K79" s="4">
        <v>26.42</v>
      </c>
      <c r="L79" s="3">
        <v>45110</v>
      </c>
      <c r="M79" s="2" t="s">
        <v>2</v>
      </c>
      <c r="N79" s="2" t="s">
        <v>1</v>
      </c>
      <c r="O79" s="2" t="s">
        <v>0</v>
      </c>
      <c r="R79">
        <f>RANK(J79,$J$2:$J$151,0)</f>
        <v>110</v>
      </c>
    </row>
    <row r="80" spans="1:18" ht="18" customHeight="1" x14ac:dyDescent="0.3">
      <c r="A80" s="11" t="s">
        <v>129</v>
      </c>
      <c r="B80" s="7" t="s">
        <v>60</v>
      </c>
      <c r="C80" s="11">
        <v>37</v>
      </c>
      <c r="D80" s="7" t="s">
        <v>51</v>
      </c>
      <c r="E80" s="7" t="s">
        <v>50</v>
      </c>
      <c r="F80" s="7" t="s">
        <v>49</v>
      </c>
      <c r="G80" s="11">
        <v>1102.5899999999999</v>
      </c>
      <c r="H80" s="11">
        <v>538.82000000000005</v>
      </c>
      <c r="I80" s="10">
        <v>263390.33</v>
      </c>
      <c r="J80" s="10">
        <v>437911.89</v>
      </c>
      <c r="K80" s="9">
        <v>66.260000000000005</v>
      </c>
      <c r="L80" s="8">
        <v>44367</v>
      </c>
      <c r="M80" s="7" t="s">
        <v>48</v>
      </c>
      <c r="N80" s="7" t="s">
        <v>16</v>
      </c>
      <c r="O80" s="7" t="s">
        <v>8</v>
      </c>
      <c r="R80">
        <f>RANK(J80,$J$2:$J$151,0)</f>
        <v>56</v>
      </c>
    </row>
    <row r="81" spans="1:18" ht="18" customHeight="1" x14ac:dyDescent="0.3">
      <c r="A81" s="6" t="s">
        <v>128</v>
      </c>
      <c r="B81" s="2" t="s">
        <v>58</v>
      </c>
      <c r="C81" s="6">
        <v>26</v>
      </c>
      <c r="D81" s="2" t="s">
        <v>45</v>
      </c>
      <c r="E81" s="2" t="s">
        <v>44</v>
      </c>
      <c r="F81" s="2" t="s">
        <v>43</v>
      </c>
      <c r="G81" s="6">
        <v>3894.75</v>
      </c>
      <c r="H81" s="6">
        <v>115.12</v>
      </c>
      <c r="I81" s="5">
        <v>13761.83</v>
      </c>
      <c r="J81" s="5">
        <v>20878.77</v>
      </c>
      <c r="K81" s="4">
        <v>51.72</v>
      </c>
      <c r="L81" s="3">
        <v>45272</v>
      </c>
      <c r="M81" s="2" t="s">
        <v>42</v>
      </c>
      <c r="N81" s="2" t="s">
        <v>9</v>
      </c>
      <c r="O81" s="2" t="s">
        <v>29</v>
      </c>
      <c r="R81">
        <f>RANK(J81,$J$2:$J$151,0)</f>
        <v>147</v>
      </c>
    </row>
    <row r="82" spans="1:18" ht="18" customHeight="1" x14ac:dyDescent="0.3">
      <c r="A82" s="11" t="s">
        <v>127</v>
      </c>
      <c r="B82" s="7" t="s">
        <v>56</v>
      </c>
      <c r="C82" s="11">
        <v>50</v>
      </c>
      <c r="D82" s="7" t="s">
        <v>39</v>
      </c>
      <c r="E82" s="7" t="s">
        <v>38</v>
      </c>
      <c r="F82" s="7" t="s">
        <v>37</v>
      </c>
      <c r="G82" s="11">
        <v>2157.8000000000002</v>
      </c>
      <c r="H82" s="11">
        <v>745</v>
      </c>
      <c r="I82" s="10">
        <v>163844.99</v>
      </c>
      <c r="J82" s="10">
        <v>359656.57</v>
      </c>
      <c r="K82" s="9">
        <v>119.51</v>
      </c>
      <c r="L82" s="8">
        <v>45069</v>
      </c>
      <c r="M82" s="7" t="s">
        <v>36</v>
      </c>
      <c r="N82" s="7" t="s">
        <v>16</v>
      </c>
      <c r="O82" s="7" t="s">
        <v>0</v>
      </c>
      <c r="R82">
        <f>RANK(J82,$J$2:$J$151,0)</f>
        <v>73</v>
      </c>
    </row>
    <row r="83" spans="1:18" ht="18" customHeight="1" x14ac:dyDescent="0.3">
      <c r="A83" s="6" t="s">
        <v>126</v>
      </c>
      <c r="B83" s="2" t="s">
        <v>54</v>
      </c>
      <c r="C83" s="6">
        <v>56</v>
      </c>
      <c r="D83" s="2" t="s">
        <v>33</v>
      </c>
      <c r="E83" s="2" t="s">
        <v>32</v>
      </c>
      <c r="F83" s="2" t="s">
        <v>31</v>
      </c>
      <c r="G83" s="6">
        <v>4616.84</v>
      </c>
      <c r="H83" s="6">
        <v>696.05</v>
      </c>
      <c r="I83" s="5">
        <v>458487.31</v>
      </c>
      <c r="J83" s="5">
        <v>636292.29</v>
      </c>
      <c r="K83" s="4">
        <v>38.78</v>
      </c>
      <c r="L83" s="3">
        <v>44257</v>
      </c>
      <c r="M83" s="2" t="s">
        <v>30</v>
      </c>
      <c r="N83" s="2" t="s">
        <v>1</v>
      </c>
      <c r="O83" s="2" t="s">
        <v>0</v>
      </c>
      <c r="R83">
        <f>RANK(J83,$J$2:$J$151,0)</f>
        <v>29</v>
      </c>
    </row>
    <row r="84" spans="1:18" ht="18" customHeight="1" x14ac:dyDescent="0.3">
      <c r="A84" s="11" t="s">
        <v>125</v>
      </c>
      <c r="B84" s="7" t="s">
        <v>52</v>
      </c>
      <c r="C84" s="11">
        <v>26</v>
      </c>
      <c r="D84" s="7" t="s">
        <v>26</v>
      </c>
      <c r="E84" s="7" t="s">
        <v>25</v>
      </c>
      <c r="F84" s="7" t="s">
        <v>24</v>
      </c>
      <c r="G84" s="11">
        <v>2975.6</v>
      </c>
      <c r="H84" s="11">
        <v>238.23</v>
      </c>
      <c r="I84" s="10">
        <v>372636.2</v>
      </c>
      <c r="J84" s="10">
        <v>487021.01</v>
      </c>
      <c r="K84" s="9">
        <v>30.7</v>
      </c>
      <c r="L84" s="8">
        <v>45050</v>
      </c>
      <c r="M84" s="7" t="s">
        <v>23</v>
      </c>
      <c r="N84" s="7" t="s">
        <v>16</v>
      </c>
      <c r="O84" s="7" t="s">
        <v>8</v>
      </c>
      <c r="R84">
        <f>RANK(J84,$J$2:$J$151,0)</f>
        <v>47</v>
      </c>
    </row>
    <row r="85" spans="1:18" ht="18" customHeight="1" x14ac:dyDescent="0.3">
      <c r="A85" s="6" t="s">
        <v>124</v>
      </c>
      <c r="B85" s="2" t="s">
        <v>46</v>
      </c>
      <c r="C85" s="6">
        <v>27</v>
      </c>
      <c r="D85" s="2" t="s">
        <v>20</v>
      </c>
      <c r="E85" s="2" t="s">
        <v>19</v>
      </c>
      <c r="F85" s="2" t="s">
        <v>18</v>
      </c>
      <c r="G85" s="6">
        <v>3497.8</v>
      </c>
      <c r="H85" s="6">
        <v>57.09</v>
      </c>
      <c r="I85" s="5">
        <v>46389.06</v>
      </c>
      <c r="J85" s="5">
        <v>47553.22</v>
      </c>
      <c r="K85" s="4">
        <v>2.5099999999999998</v>
      </c>
      <c r="L85" s="12">
        <v>44670</v>
      </c>
      <c r="M85" s="2" t="s">
        <v>17</v>
      </c>
      <c r="N85" s="2" t="s">
        <v>16</v>
      </c>
      <c r="O85" s="2" t="s">
        <v>0</v>
      </c>
      <c r="R85">
        <f>RANK(J85,$J$2:$J$151,0)</f>
        <v>142</v>
      </c>
    </row>
    <row r="86" spans="1:18" ht="18" customHeight="1" x14ac:dyDescent="0.3">
      <c r="A86" s="11" t="s">
        <v>123</v>
      </c>
      <c r="B86" s="7" t="s">
        <v>40</v>
      </c>
      <c r="C86" s="11">
        <v>34</v>
      </c>
      <c r="D86" s="7" t="s">
        <v>13</v>
      </c>
      <c r="E86" s="7" t="s">
        <v>12</v>
      </c>
      <c r="F86" s="7" t="s">
        <v>11</v>
      </c>
      <c r="G86" s="11">
        <v>2145.66</v>
      </c>
      <c r="H86" s="11">
        <v>537.15</v>
      </c>
      <c r="I86" s="10">
        <v>295226.59999999998</v>
      </c>
      <c r="J86" s="10">
        <v>258002.8</v>
      </c>
      <c r="K86" s="9">
        <v>-12.61</v>
      </c>
      <c r="L86" s="8">
        <v>44079</v>
      </c>
      <c r="M86" s="7" t="s">
        <v>10</v>
      </c>
      <c r="N86" s="7" t="s">
        <v>9</v>
      </c>
      <c r="O86" s="7" t="s">
        <v>8</v>
      </c>
      <c r="R86">
        <f>RANK(J86,$J$2:$J$151,0)</f>
        <v>94</v>
      </c>
    </row>
    <row r="87" spans="1:18" ht="18" customHeight="1" x14ac:dyDescent="0.3">
      <c r="A87" s="6" t="s">
        <v>122</v>
      </c>
      <c r="B87" s="2" t="s">
        <v>34</v>
      </c>
      <c r="C87" s="6">
        <v>42</v>
      </c>
      <c r="D87" s="2" t="s">
        <v>5</v>
      </c>
      <c r="E87" s="2" t="s">
        <v>4</v>
      </c>
      <c r="F87" s="2" t="s">
        <v>3</v>
      </c>
      <c r="G87" s="6">
        <v>1129.44</v>
      </c>
      <c r="H87" s="6">
        <v>540.86</v>
      </c>
      <c r="I87" s="5">
        <v>496686.24</v>
      </c>
      <c r="J87" s="5">
        <v>430712.45</v>
      </c>
      <c r="K87" s="4">
        <v>-13.28</v>
      </c>
      <c r="L87" s="3">
        <v>44711</v>
      </c>
      <c r="M87" s="2" t="s">
        <v>2</v>
      </c>
      <c r="N87" s="2" t="s">
        <v>1</v>
      </c>
      <c r="O87" s="2" t="s">
        <v>29</v>
      </c>
      <c r="R87">
        <f>RANK(J87,$J$2:$J$151,0)</f>
        <v>58</v>
      </c>
    </row>
    <row r="88" spans="1:18" ht="18" customHeight="1" x14ac:dyDescent="0.3">
      <c r="A88" s="11" t="s">
        <v>121</v>
      </c>
      <c r="B88" s="7" t="s">
        <v>27</v>
      </c>
      <c r="C88" s="11">
        <v>40</v>
      </c>
      <c r="D88" s="7" t="s">
        <v>51</v>
      </c>
      <c r="E88" s="7" t="s">
        <v>50</v>
      </c>
      <c r="F88" s="7" t="s">
        <v>49</v>
      </c>
      <c r="G88" s="11">
        <v>956.63</v>
      </c>
      <c r="H88" s="11">
        <v>125.17</v>
      </c>
      <c r="I88" s="10">
        <v>388090.25</v>
      </c>
      <c r="J88" s="10">
        <v>480159.12</v>
      </c>
      <c r="K88" s="9">
        <v>23.72</v>
      </c>
      <c r="L88" s="8">
        <v>44193</v>
      </c>
      <c r="M88" s="7" t="s">
        <v>48</v>
      </c>
      <c r="N88" s="7" t="s">
        <v>16</v>
      </c>
      <c r="O88" s="7" t="s">
        <v>0</v>
      </c>
      <c r="R88">
        <f>RANK(J88,$J$2:$J$151,0)</f>
        <v>49</v>
      </c>
    </row>
    <row r="89" spans="1:18" ht="18" customHeight="1" x14ac:dyDescent="0.3">
      <c r="A89" s="6" t="s">
        <v>120</v>
      </c>
      <c r="B89" s="2" t="s">
        <v>21</v>
      </c>
      <c r="C89" s="6">
        <v>48</v>
      </c>
      <c r="D89" s="2" t="s">
        <v>45</v>
      </c>
      <c r="E89" s="2" t="s">
        <v>44</v>
      </c>
      <c r="F89" s="2" t="s">
        <v>43</v>
      </c>
      <c r="G89" s="6">
        <v>568.17999999999995</v>
      </c>
      <c r="H89" s="6">
        <v>676.68</v>
      </c>
      <c r="I89" s="5">
        <v>377119.71</v>
      </c>
      <c r="J89" s="5">
        <v>517146.7</v>
      </c>
      <c r="K89" s="4">
        <v>37.130000000000003</v>
      </c>
      <c r="L89" s="3">
        <v>44028</v>
      </c>
      <c r="M89" s="2" t="s">
        <v>42</v>
      </c>
      <c r="N89" s="2" t="s">
        <v>9</v>
      </c>
      <c r="O89" s="2" t="s">
        <v>0</v>
      </c>
      <c r="R89">
        <f>RANK(J89,$J$2:$J$151,0)</f>
        <v>40</v>
      </c>
    </row>
    <row r="90" spans="1:18" ht="18" customHeight="1" x14ac:dyDescent="0.3">
      <c r="A90" s="11" t="s">
        <v>119</v>
      </c>
      <c r="B90" s="7" t="s">
        <v>14</v>
      </c>
      <c r="C90" s="11">
        <v>26</v>
      </c>
      <c r="D90" s="7" t="s">
        <v>39</v>
      </c>
      <c r="E90" s="7" t="s">
        <v>38</v>
      </c>
      <c r="F90" s="7" t="s">
        <v>37</v>
      </c>
      <c r="G90" s="11">
        <v>1381.45</v>
      </c>
      <c r="H90" s="11">
        <v>430.58</v>
      </c>
      <c r="I90" s="10">
        <v>128844.49</v>
      </c>
      <c r="J90" s="10">
        <v>281143.15000000002</v>
      </c>
      <c r="K90" s="9">
        <v>118.2</v>
      </c>
      <c r="L90" s="8">
        <v>44155</v>
      </c>
      <c r="M90" s="7" t="s">
        <v>36</v>
      </c>
      <c r="N90" s="7" t="s">
        <v>16</v>
      </c>
      <c r="O90" s="7" t="s">
        <v>8</v>
      </c>
      <c r="R90">
        <f>RANK(J90,$J$2:$J$151,0)</f>
        <v>88</v>
      </c>
    </row>
    <row r="91" spans="1:18" ht="18" customHeight="1" x14ac:dyDescent="0.3">
      <c r="A91" s="6" t="s">
        <v>118</v>
      </c>
      <c r="B91" s="2" t="s">
        <v>6</v>
      </c>
      <c r="C91" s="6">
        <v>39</v>
      </c>
      <c r="D91" s="2" t="s">
        <v>33</v>
      </c>
      <c r="E91" s="2" t="s">
        <v>32</v>
      </c>
      <c r="F91" s="2" t="s">
        <v>31</v>
      </c>
      <c r="G91" s="6">
        <v>3651.67</v>
      </c>
      <c r="H91" s="6">
        <v>47.4</v>
      </c>
      <c r="I91" s="5">
        <v>304426.68</v>
      </c>
      <c r="J91" s="5">
        <v>287464.65000000002</v>
      </c>
      <c r="K91" s="4">
        <v>-5.57</v>
      </c>
      <c r="L91" s="3">
        <v>44800</v>
      </c>
      <c r="M91" s="2" t="s">
        <v>30</v>
      </c>
      <c r="N91" s="2" t="s">
        <v>1</v>
      </c>
      <c r="O91" s="2" t="s">
        <v>0</v>
      </c>
      <c r="R91">
        <f>RANK(J91,$J$2:$J$151,0)</f>
        <v>86</v>
      </c>
    </row>
    <row r="92" spans="1:18" ht="18" customHeight="1" x14ac:dyDescent="0.3">
      <c r="A92" s="11" t="s">
        <v>117</v>
      </c>
      <c r="B92" s="7" t="s">
        <v>76</v>
      </c>
      <c r="C92" s="11">
        <v>47</v>
      </c>
      <c r="D92" s="7" t="s">
        <v>26</v>
      </c>
      <c r="E92" s="7" t="s">
        <v>25</v>
      </c>
      <c r="F92" s="7" t="s">
        <v>24</v>
      </c>
      <c r="G92" s="11">
        <v>685.73</v>
      </c>
      <c r="H92" s="11">
        <v>246.79</v>
      </c>
      <c r="I92" s="10">
        <v>244752.44</v>
      </c>
      <c r="J92" s="10">
        <v>487584.75</v>
      </c>
      <c r="K92" s="9">
        <v>99.22</v>
      </c>
      <c r="L92" s="8">
        <v>44858</v>
      </c>
      <c r="M92" s="7" t="s">
        <v>23</v>
      </c>
      <c r="N92" s="7" t="s">
        <v>16</v>
      </c>
      <c r="O92" s="7" t="s">
        <v>8</v>
      </c>
      <c r="R92">
        <f>RANK(J92,$J$2:$J$151,0)</f>
        <v>46</v>
      </c>
    </row>
    <row r="93" spans="1:18" ht="18" customHeight="1" x14ac:dyDescent="0.3">
      <c r="A93" s="6" t="s">
        <v>116</v>
      </c>
      <c r="B93" s="2" t="s">
        <v>74</v>
      </c>
      <c r="C93" s="6">
        <v>41</v>
      </c>
      <c r="D93" s="2" t="s">
        <v>20</v>
      </c>
      <c r="E93" s="2" t="s">
        <v>19</v>
      </c>
      <c r="F93" s="2" t="s">
        <v>18</v>
      </c>
      <c r="G93" s="6">
        <v>4150.8900000000003</v>
      </c>
      <c r="H93" s="6">
        <v>216.78</v>
      </c>
      <c r="I93" s="5">
        <v>130214.87</v>
      </c>
      <c r="J93" s="5">
        <v>143092.63</v>
      </c>
      <c r="K93" s="4">
        <v>9.89</v>
      </c>
      <c r="L93" s="12">
        <v>44411</v>
      </c>
      <c r="M93" s="2" t="s">
        <v>17</v>
      </c>
      <c r="N93" s="2" t="s">
        <v>16</v>
      </c>
      <c r="O93" s="2" t="s">
        <v>29</v>
      </c>
      <c r="R93">
        <f>RANK(J93,$J$2:$J$151,0)</f>
        <v>120</v>
      </c>
    </row>
    <row r="94" spans="1:18" ht="18" customHeight="1" x14ac:dyDescent="0.3">
      <c r="A94" s="11" t="s">
        <v>115</v>
      </c>
      <c r="B94" s="7" t="s">
        <v>72</v>
      </c>
      <c r="C94" s="11">
        <v>31</v>
      </c>
      <c r="D94" s="7" t="s">
        <v>13</v>
      </c>
      <c r="E94" s="7" t="s">
        <v>12</v>
      </c>
      <c r="F94" s="7" t="s">
        <v>11</v>
      </c>
      <c r="G94" s="11">
        <v>992.11</v>
      </c>
      <c r="H94" s="11">
        <v>418.11</v>
      </c>
      <c r="I94" s="10">
        <v>401977.33</v>
      </c>
      <c r="J94" s="10">
        <v>466469.47</v>
      </c>
      <c r="K94" s="9">
        <v>16.04</v>
      </c>
      <c r="L94" s="8">
        <v>44558</v>
      </c>
      <c r="M94" s="7" t="s">
        <v>10</v>
      </c>
      <c r="N94" s="7" t="s">
        <v>9</v>
      </c>
      <c r="O94" s="7" t="s">
        <v>0</v>
      </c>
      <c r="R94">
        <f>RANK(J94,$J$2:$J$151,0)</f>
        <v>50</v>
      </c>
    </row>
    <row r="95" spans="1:18" ht="18" customHeight="1" x14ac:dyDescent="0.3">
      <c r="A95" s="6" t="s">
        <v>114</v>
      </c>
      <c r="B95" s="2" t="s">
        <v>70</v>
      </c>
      <c r="C95" s="6">
        <v>60</v>
      </c>
      <c r="D95" s="2" t="s">
        <v>5</v>
      </c>
      <c r="E95" s="2" t="s">
        <v>4</v>
      </c>
      <c r="F95" s="2" t="s">
        <v>3</v>
      </c>
      <c r="G95" s="6">
        <v>2604.4299999999998</v>
      </c>
      <c r="H95" s="6">
        <v>196.9</v>
      </c>
      <c r="I95" s="5">
        <v>220336.48</v>
      </c>
      <c r="J95" s="5">
        <v>230292.8</v>
      </c>
      <c r="K95" s="4">
        <v>4.5199999999999996</v>
      </c>
      <c r="L95" s="3">
        <v>43831</v>
      </c>
      <c r="M95" s="2" t="s">
        <v>2</v>
      </c>
      <c r="N95" s="2" t="s">
        <v>1</v>
      </c>
      <c r="O95" s="2" t="s">
        <v>0</v>
      </c>
      <c r="R95">
        <f>RANK(J95,$J$2:$J$151,0)</f>
        <v>97</v>
      </c>
    </row>
    <row r="96" spans="1:18" ht="18" customHeight="1" x14ac:dyDescent="0.3">
      <c r="A96" s="11" t="s">
        <v>113</v>
      </c>
      <c r="B96" s="7" t="s">
        <v>68</v>
      </c>
      <c r="C96" s="11">
        <v>43</v>
      </c>
      <c r="D96" s="7" t="s">
        <v>51</v>
      </c>
      <c r="E96" s="7" t="s">
        <v>50</v>
      </c>
      <c r="F96" s="7" t="s">
        <v>49</v>
      </c>
      <c r="G96" s="11">
        <v>3638.34</v>
      </c>
      <c r="H96" s="11">
        <v>592.23</v>
      </c>
      <c r="I96" s="10">
        <v>292456.46999999997</v>
      </c>
      <c r="J96" s="10">
        <v>281100.69</v>
      </c>
      <c r="K96" s="9">
        <v>-3.88</v>
      </c>
      <c r="L96" s="8">
        <v>44695</v>
      </c>
      <c r="M96" s="7" t="s">
        <v>48</v>
      </c>
      <c r="N96" s="7" t="s">
        <v>16</v>
      </c>
      <c r="O96" s="7" t="s">
        <v>8</v>
      </c>
      <c r="R96">
        <f>RANK(J96,$J$2:$J$151,0)</f>
        <v>89</v>
      </c>
    </row>
    <row r="97" spans="1:18" ht="18" customHeight="1" x14ac:dyDescent="0.3">
      <c r="A97" s="6" t="s">
        <v>112</v>
      </c>
      <c r="B97" s="2" t="s">
        <v>66</v>
      </c>
      <c r="C97" s="6">
        <v>27</v>
      </c>
      <c r="D97" s="2" t="s">
        <v>45</v>
      </c>
      <c r="E97" s="2" t="s">
        <v>44</v>
      </c>
      <c r="F97" s="2" t="s">
        <v>43</v>
      </c>
      <c r="G97" s="6">
        <v>2157.5</v>
      </c>
      <c r="H97" s="6">
        <v>103.19</v>
      </c>
      <c r="I97" s="5">
        <v>7372.84</v>
      </c>
      <c r="J97" s="5">
        <v>14919.96</v>
      </c>
      <c r="K97" s="4">
        <v>102.36</v>
      </c>
      <c r="L97" s="3">
        <v>44011</v>
      </c>
      <c r="M97" s="2" t="s">
        <v>42</v>
      </c>
      <c r="N97" s="2" t="s">
        <v>9</v>
      </c>
      <c r="O97" s="2" t="s">
        <v>0</v>
      </c>
      <c r="R97">
        <f>RANK(J97,$J$2:$J$151,0)</f>
        <v>150</v>
      </c>
    </row>
    <row r="98" spans="1:18" ht="18" customHeight="1" x14ac:dyDescent="0.3">
      <c r="A98" s="11" t="s">
        <v>111</v>
      </c>
      <c r="B98" s="7" t="s">
        <v>64</v>
      </c>
      <c r="C98" s="11">
        <v>37</v>
      </c>
      <c r="D98" s="7" t="s">
        <v>39</v>
      </c>
      <c r="E98" s="7" t="s">
        <v>38</v>
      </c>
      <c r="F98" s="7" t="s">
        <v>37</v>
      </c>
      <c r="G98" s="11">
        <v>1528.66</v>
      </c>
      <c r="H98" s="11">
        <v>109.34</v>
      </c>
      <c r="I98" s="10">
        <v>367040.79</v>
      </c>
      <c r="J98" s="10">
        <v>662838.89</v>
      </c>
      <c r="K98" s="9">
        <v>80.59</v>
      </c>
      <c r="L98" s="8">
        <v>44185</v>
      </c>
      <c r="M98" s="7" t="s">
        <v>36</v>
      </c>
      <c r="N98" s="7" t="s">
        <v>16</v>
      </c>
      <c r="O98" s="7" t="s">
        <v>8</v>
      </c>
      <c r="R98">
        <f>RANK(J98,$J$2:$J$151,0)</f>
        <v>25</v>
      </c>
    </row>
    <row r="99" spans="1:18" ht="18" customHeight="1" x14ac:dyDescent="0.3">
      <c r="A99" s="6" t="s">
        <v>110</v>
      </c>
      <c r="B99" s="2" t="s">
        <v>62</v>
      </c>
      <c r="C99" s="6">
        <v>57</v>
      </c>
      <c r="D99" s="2" t="s">
        <v>33</v>
      </c>
      <c r="E99" s="2" t="s">
        <v>32</v>
      </c>
      <c r="F99" s="2" t="s">
        <v>31</v>
      </c>
      <c r="G99" s="6">
        <v>3399.21</v>
      </c>
      <c r="H99" s="6">
        <v>168.17</v>
      </c>
      <c r="I99" s="5">
        <v>310126.88</v>
      </c>
      <c r="J99" s="5">
        <v>399105.51</v>
      </c>
      <c r="K99" s="4">
        <v>28.69</v>
      </c>
      <c r="L99" s="3">
        <v>44277</v>
      </c>
      <c r="M99" s="2" t="s">
        <v>30</v>
      </c>
      <c r="N99" s="2" t="s">
        <v>1</v>
      </c>
      <c r="O99" s="2" t="s">
        <v>29</v>
      </c>
      <c r="R99">
        <f>RANK(J99,$J$2:$J$151,0)</f>
        <v>62</v>
      </c>
    </row>
    <row r="100" spans="1:18" ht="18" customHeight="1" x14ac:dyDescent="0.3">
      <c r="A100" s="11" t="s">
        <v>109</v>
      </c>
      <c r="B100" s="7" t="s">
        <v>60</v>
      </c>
      <c r="C100" s="11">
        <v>41</v>
      </c>
      <c r="D100" s="7" t="s">
        <v>26</v>
      </c>
      <c r="E100" s="7" t="s">
        <v>25</v>
      </c>
      <c r="F100" s="7" t="s">
        <v>24</v>
      </c>
      <c r="G100" s="11">
        <v>2052.36</v>
      </c>
      <c r="H100" s="11">
        <v>413.07</v>
      </c>
      <c r="I100" s="10">
        <v>224288.28</v>
      </c>
      <c r="J100" s="10">
        <v>483238.87</v>
      </c>
      <c r="K100" s="9">
        <v>115.45</v>
      </c>
      <c r="L100" s="8">
        <v>44813</v>
      </c>
      <c r="M100" s="7" t="s">
        <v>23</v>
      </c>
      <c r="N100" s="7" t="s">
        <v>16</v>
      </c>
      <c r="O100" s="7" t="s">
        <v>0</v>
      </c>
      <c r="R100">
        <f>RANK(J100,$J$2:$J$151,0)</f>
        <v>48</v>
      </c>
    </row>
    <row r="101" spans="1:18" ht="18" customHeight="1" x14ac:dyDescent="0.3">
      <c r="A101" s="6" t="s">
        <v>108</v>
      </c>
      <c r="B101" s="2" t="s">
        <v>58</v>
      </c>
      <c r="C101" s="6">
        <v>56</v>
      </c>
      <c r="D101" s="2" t="s">
        <v>20</v>
      </c>
      <c r="E101" s="2" t="s">
        <v>19</v>
      </c>
      <c r="F101" s="2" t="s">
        <v>18</v>
      </c>
      <c r="G101" s="6">
        <v>3101.89</v>
      </c>
      <c r="H101" s="6">
        <v>190.22</v>
      </c>
      <c r="I101" s="5">
        <v>69705.279999999999</v>
      </c>
      <c r="J101" s="5">
        <v>125409.26</v>
      </c>
      <c r="K101" s="4">
        <v>79.91</v>
      </c>
      <c r="L101" s="12">
        <v>45255</v>
      </c>
      <c r="M101" s="2" t="s">
        <v>17</v>
      </c>
      <c r="N101" s="2" t="s">
        <v>16</v>
      </c>
      <c r="O101" s="2" t="s">
        <v>0</v>
      </c>
      <c r="R101">
        <f>RANK(J101,$J$2:$J$151,0)</f>
        <v>126</v>
      </c>
    </row>
    <row r="102" spans="1:18" ht="18" customHeight="1" x14ac:dyDescent="0.3">
      <c r="A102" s="11" t="s">
        <v>107</v>
      </c>
      <c r="B102" s="7" t="s">
        <v>56</v>
      </c>
      <c r="C102" s="11">
        <v>57</v>
      </c>
      <c r="D102" s="7" t="s">
        <v>13</v>
      </c>
      <c r="E102" s="7" t="s">
        <v>12</v>
      </c>
      <c r="F102" s="7" t="s">
        <v>11</v>
      </c>
      <c r="G102" s="11">
        <v>4718.95</v>
      </c>
      <c r="H102" s="11">
        <v>732.87</v>
      </c>
      <c r="I102" s="10">
        <v>426156.3</v>
      </c>
      <c r="J102" s="10">
        <v>828790.59</v>
      </c>
      <c r="K102" s="9">
        <v>94.48</v>
      </c>
      <c r="L102" s="8">
        <v>45117</v>
      </c>
      <c r="M102" s="7" t="s">
        <v>10</v>
      </c>
      <c r="N102" s="7" t="s">
        <v>9</v>
      </c>
      <c r="O102" s="7" t="s">
        <v>8</v>
      </c>
      <c r="R102">
        <f>RANK(J102,$J$2:$J$151,0)</f>
        <v>9</v>
      </c>
    </row>
    <row r="103" spans="1:18" ht="18" customHeight="1" x14ac:dyDescent="0.3">
      <c r="A103" s="6" t="s">
        <v>106</v>
      </c>
      <c r="B103" s="2" t="s">
        <v>54</v>
      </c>
      <c r="C103" s="6">
        <v>55</v>
      </c>
      <c r="D103" s="2" t="s">
        <v>5</v>
      </c>
      <c r="E103" s="2" t="s">
        <v>4</v>
      </c>
      <c r="F103" s="2" t="s">
        <v>3</v>
      </c>
      <c r="G103" s="6">
        <v>3044.06</v>
      </c>
      <c r="H103" s="6">
        <v>580.32000000000005</v>
      </c>
      <c r="I103" s="5">
        <v>480463.24</v>
      </c>
      <c r="J103" s="5">
        <v>799992.47</v>
      </c>
      <c r="K103" s="4">
        <v>66.5</v>
      </c>
      <c r="L103" s="3">
        <v>44972</v>
      </c>
      <c r="M103" s="2" t="s">
        <v>2</v>
      </c>
      <c r="N103" s="2" t="s">
        <v>1</v>
      </c>
      <c r="O103" s="2" t="s">
        <v>0</v>
      </c>
      <c r="R103">
        <f>RANK(J103,$J$2:$J$151,0)</f>
        <v>12</v>
      </c>
    </row>
    <row r="104" spans="1:18" ht="18" customHeight="1" x14ac:dyDescent="0.3">
      <c r="A104" s="11" t="s">
        <v>105</v>
      </c>
      <c r="B104" s="7" t="s">
        <v>52</v>
      </c>
      <c r="C104" s="11">
        <v>33</v>
      </c>
      <c r="D104" s="7" t="s">
        <v>51</v>
      </c>
      <c r="E104" s="7" t="s">
        <v>50</v>
      </c>
      <c r="F104" s="7" t="s">
        <v>49</v>
      </c>
      <c r="G104" s="11">
        <v>3656.02</v>
      </c>
      <c r="H104" s="11">
        <v>679.06</v>
      </c>
      <c r="I104" s="10">
        <v>269280.74</v>
      </c>
      <c r="J104" s="10">
        <v>236357.01</v>
      </c>
      <c r="K104" s="9">
        <v>-12.23</v>
      </c>
      <c r="L104" s="8">
        <v>45071</v>
      </c>
      <c r="M104" s="7" t="s">
        <v>48</v>
      </c>
      <c r="N104" s="7" t="s">
        <v>16</v>
      </c>
      <c r="O104" s="7" t="s">
        <v>8</v>
      </c>
      <c r="R104">
        <f>RANK(J104,$J$2:$J$151,0)</f>
        <v>96</v>
      </c>
    </row>
    <row r="105" spans="1:18" ht="18" customHeight="1" x14ac:dyDescent="0.3">
      <c r="A105" s="6" t="s">
        <v>104</v>
      </c>
      <c r="B105" s="2" t="s">
        <v>46</v>
      </c>
      <c r="C105" s="6">
        <v>59</v>
      </c>
      <c r="D105" s="2" t="s">
        <v>45</v>
      </c>
      <c r="E105" s="2" t="s">
        <v>44</v>
      </c>
      <c r="F105" s="2" t="s">
        <v>43</v>
      </c>
      <c r="G105" s="6">
        <v>1753</v>
      </c>
      <c r="H105" s="6">
        <v>120.08</v>
      </c>
      <c r="I105" s="5">
        <v>27667.1</v>
      </c>
      <c r="J105" s="5">
        <v>43459.81</v>
      </c>
      <c r="K105" s="4">
        <v>57.08</v>
      </c>
      <c r="L105" s="3">
        <v>45210</v>
      </c>
      <c r="M105" s="2" t="s">
        <v>42</v>
      </c>
      <c r="N105" s="2" t="s">
        <v>9</v>
      </c>
      <c r="O105" s="2" t="s">
        <v>29</v>
      </c>
      <c r="R105">
        <f>RANK(J105,$J$2:$J$151,0)</f>
        <v>143</v>
      </c>
    </row>
    <row r="106" spans="1:18" ht="18" customHeight="1" x14ac:dyDescent="0.3">
      <c r="A106" s="11" t="s">
        <v>103</v>
      </c>
      <c r="B106" s="7" t="s">
        <v>40</v>
      </c>
      <c r="C106" s="11">
        <v>57</v>
      </c>
      <c r="D106" s="7" t="s">
        <v>39</v>
      </c>
      <c r="E106" s="7" t="s">
        <v>38</v>
      </c>
      <c r="F106" s="7" t="s">
        <v>37</v>
      </c>
      <c r="G106" s="11">
        <v>1499.82</v>
      </c>
      <c r="H106" s="11">
        <v>303.08</v>
      </c>
      <c r="I106" s="10">
        <v>279015.36</v>
      </c>
      <c r="J106" s="10">
        <v>498210.2</v>
      </c>
      <c r="K106" s="9">
        <v>78.56</v>
      </c>
      <c r="L106" s="8">
        <v>45241</v>
      </c>
      <c r="M106" s="7" t="s">
        <v>36</v>
      </c>
      <c r="N106" s="7" t="s">
        <v>16</v>
      </c>
      <c r="O106" s="7" t="s">
        <v>0</v>
      </c>
      <c r="R106">
        <f>RANK(J106,$J$2:$J$151,0)</f>
        <v>42</v>
      </c>
    </row>
    <row r="107" spans="1:18" ht="18" customHeight="1" x14ac:dyDescent="0.3">
      <c r="A107" s="6" t="s">
        <v>102</v>
      </c>
      <c r="B107" s="2" t="s">
        <v>34</v>
      </c>
      <c r="C107" s="6">
        <v>28</v>
      </c>
      <c r="D107" s="2" t="s">
        <v>33</v>
      </c>
      <c r="E107" s="2" t="s">
        <v>32</v>
      </c>
      <c r="F107" s="2" t="s">
        <v>31</v>
      </c>
      <c r="G107" s="6">
        <v>3647.19</v>
      </c>
      <c r="H107" s="6">
        <v>250.56</v>
      </c>
      <c r="I107" s="5">
        <v>335638.26</v>
      </c>
      <c r="J107" s="5">
        <v>440783.79</v>
      </c>
      <c r="K107" s="4">
        <v>31.33</v>
      </c>
      <c r="L107" s="3">
        <v>44237</v>
      </c>
      <c r="M107" s="2" t="s">
        <v>30</v>
      </c>
      <c r="N107" s="2" t="s">
        <v>1</v>
      </c>
      <c r="O107" s="2" t="s">
        <v>0</v>
      </c>
      <c r="R107">
        <f>RANK(J107,$J$2:$J$151,0)</f>
        <v>55</v>
      </c>
    </row>
    <row r="108" spans="1:18" ht="18" customHeight="1" x14ac:dyDescent="0.3">
      <c r="A108" s="11" t="s">
        <v>101</v>
      </c>
      <c r="B108" s="7" t="s">
        <v>27</v>
      </c>
      <c r="C108" s="11">
        <v>62</v>
      </c>
      <c r="D108" s="7" t="s">
        <v>26</v>
      </c>
      <c r="E108" s="7" t="s">
        <v>25</v>
      </c>
      <c r="F108" s="7" t="s">
        <v>24</v>
      </c>
      <c r="G108" s="11">
        <v>829.99</v>
      </c>
      <c r="H108" s="11">
        <v>156.91999999999999</v>
      </c>
      <c r="I108" s="10">
        <v>50774.2</v>
      </c>
      <c r="J108" s="10">
        <v>69959.73</v>
      </c>
      <c r="K108" s="9">
        <v>37.79</v>
      </c>
      <c r="L108" s="8">
        <v>44945</v>
      </c>
      <c r="M108" s="7" t="s">
        <v>23</v>
      </c>
      <c r="N108" s="7" t="s">
        <v>16</v>
      </c>
      <c r="O108" s="7" t="s">
        <v>8</v>
      </c>
      <c r="R108">
        <f>RANK(J108,$J$2:$J$151,0)</f>
        <v>138</v>
      </c>
    </row>
    <row r="109" spans="1:18" ht="18" customHeight="1" x14ac:dyDescent="0.3">
      <c r="A109" s="6" t="s">
        <v>100</v>
      </c>
      <c r="B109" s="2" t="s">
        <v>21</v>
      </c>
      <c r="C109" s="6">
        <v>56</v>
      </c>
      <c r="D109" s="2" t="s">
        <v>20</v>
      </c>
      <c r="E109" s="2" t="s">
        <v>19</v>
      </c>
      <c r="F109" s="2" t="s">
        <v>18</v>
      </c>
      <c r="G109" s="6">
        <v>1928.36</v>
      </c>
      <c r="H109" s="6">
        <v>481.85</v>
      </c>
      <c r="I109" s="5">
        <v>417208.44</v>
      </c>
      <c r="J109" s="5">
        <v>567150.81999999995</v>
      </c>
      <c r="K109" s="4">
        <v>35.94</v>
      </c>
      <c r="L109" s="12">
        <v>44046</v>
      </c>
      <c r="M109" s="2" t="s">
        <v>17</v>
      </c>
      <c r="N109" s="2" t="s">
        <v>16</v>
      </c>
      <c r="O109" s="2" t="s">
        <v>0</v>
      </c>
      <c r="R109">
        <f>RANK(J109,$J$2:$J$151,0)</f>
        <v>33</v>
      </c>
    </row>
    <row r="110" spans="1:18" ht="18" customHeight="1" x14ac:dyDescent="0.3">
      <c r="A110" s="11" t="s">
        <v>99</v>
      </c>
      <c r="B110" s="7" t="s">
        <v>14</v>
      </c>
      <c r="C110" s="11">
        <v>35</v>
      </c>
      <c r="D110" s="7" t="s">
        <v>13</v>
      </c>
      <c r="E110" s="7" t="s">
        <v>12</v>
      </c>
      <c r="F110" s="7" t="s">
        <v>11</v>
      </c>
      <c r="G110" s="11">
        <v>4909.82</v>
      </c>
      <c r="H110" s="11">
        <v>294.36</v>
      </c>
      <c r="I110" s="10">
        <v>36241.82</v>
      </c>
      <c r="J110" s="10">
        <v>64126.06</v>
      </c>
      <c r="K110" s="9">
        <v>76.94</v>
      </c>
      <c r="L110" s="8">
        <v>43840</v>
      </c>
      <c r="M110" s="7" t="s">
        <v>10</v>
      </c>
      <c r="N110" s="7" t="s">
        <v>9</v>
      </c>
      <c r="O110" s="7" t="s">
        <v>8</v>
      </c>
      <c r="R110">
        <f>RANK(J110,$J$2:$J$151,0)</f>
        <v>139</v>
      </c>
    </row>
    <row r="111" spans="1:18" ht="18" customHeight="1" x14ac:dyDescent="0.3">
      <c r="A111" s="6" t="s">
        <v>98</v>
      </c>
      <c r="B111" s="2" t="s">
        <v>6</v>
      </c>
      <c r="C111" s="6">
        <v>45</v>
      </c>
      <c r="D111" s="2" t="s">
        <v>5</v>
      </c>
      <c r="E111" s="2" t="s">
        <v>4</v>
      </c>
      <c r="F111" s="2" t="s">
        <v>3</v>
      </c>
      <c r="G111" s="6">
        <v>1982.68</v>
      </c>
      <c r="H111" s="6">
        <v>482.87</v>
      </c>
      <c r="I111" s="5">
        <v>298834.40000000002</v>
      </c>
      <c r="J111" s="5">
        <v>497846.58</v>
      </c>
      <c r="K111" s="4">
        <v>66.599999999999994</v>
      </c>
      <c r="L111" s="3">
        <v>44423</v>
      </c>
      <c r="M111" s="2" t="s">
        <v>2</v>
      </c>
      <c r="N111" s="2" t="s">
        <v>1</v>
      </c>
      <c r="O111" s="2" t="s">
        <v>29</v>
      </c>
      <c r="R111">
        <f>RANK(J111,$J$2:$J$151,0)</f>
        <v>43</v>
      </c>
    </row>
    <row r="112" spans="1:18" ht="18" customHeight="1" x14ac:dyDescent="0.3">
      <c r="A112" s="11" t="s">
        <v>97</v>
      </c>
      <c r="B112" s="7" t="s">
        <v>76</v>
      </c>
      <c r="C112" s="11">
        <v>39</v>
      </c>
      <c r="D112" s="7" t="s">
        <v>51</v>
      </c>
      <c r="E112" s="7" t="s">
        <v>50</v>
      </c>
      <c r="F112" s="7" t="s">
        <v>49</v>
      </c>
      <c r="G112" s="11">
        <v>2068.7399999999998</v>
      </c>
      <c r="H112" s="11">
        <v>120.57</v>
      </c>
      <c r="I112" s="10">
        <v>335160.48</v>
      </c>
      <c r="J112" s="10">
        <v>729023.74</v>
      </c>
      <c r="K112" s="9">
        <v>117.51</v>
      </c>
      <c r="L112" s="8">
        <v>44096</v>
      </c>
      <c r="M112" s="7" t="s">
        <v>48</v>
      </c>
      <c r="N112" s="7" t="s">
        <v>16</v>
      </c>
      <c r="O112" s="7" t="s">
        <v>0</v>
      </c>
      <c r="R112">
        <f>RANK(J112,$J$2:$J$151,0)</f>
        <v>17</v>
      </c>
    </row>
    <row r="113" spans="1:18" ht="18" customHeight="1" x14ac:dyDescent="0.3">
      <c r="A113" s="6" t="s">
        <v>96</v>
      </c>
      <c r="B113" s="2" t="s">
        <v>74</v>
      </c>
      <c r="C113" s="6">
        <v>40</v>
      </c>
      <c r="D113" s="2" t="s">
        <v>45</v>
      </c>
      <c r="E113" s="2" t="s">
        <v>44</v>
      </c>
      <c r="F113" s="2" t="s">
        <v>43</v>
      </c>
      <c r="G113" s="6">
        <v>4851.87</v>
      </c>
      <c r="H113" s="6">
        <v>535.96</v>
      </c>
      <c r="I113" s="5">
        <v>385024.93</v>
      </c>
      <c r="J113" s="5">
        <v>818710.23</v>
      </c>
      <c r="K113" s="4">
        <v>112.64</v>
      </c>
      <c r="L113" s="3">
        <v>44953</v>
      </c>
      <c r="M113" s="2" t="s">
        <v>42</v>
      </c>
      <c r="N113" s="2" t="s">
        <v>9</v>
      </c>
      <c r="O113" s="2" t="s">
        <v>0</v>
      </c>
      <c r="R113">
        <f>RANK(J113,$J$2:$J$151,0)</f>
        <v>10</v>
      </c>
    </row>
    <row r="114" spans="1:18" ht="18" customHeight="1" x14ac:dyDescent="0.3">
      <c r="A114" s="11" t="s">
        <v>95</v>
      </c>
      <c r="B114" s="7" t="s">
        <v>72</v>
      </c>
      <c r="C114" s="11">
        <v>54</v>
      </c>
      <c r="D114" s="7" t="s">
        <v>39</v>
      </c>
      <c r="E114" s="7" t="s">
        <v>38</v>
      </c>
      <c r="F114" s="7" t="s">
        <v>37</v>
      </c>
      <c r="G114" s="11">
        <v>2698.47</v>
      </c>
      <c r="H114" s="11">
        <v>131.08000000000001</v>
      </c>
      <c r="I114" s="10">
        <v>208595.05</v>
      </c>
      <c r="J114" s="10">
        <v>332865.46000000002</v>
      </c>
      <c r="K114" s="9">
        <v>59.57</v>
      </c>
      <c r="L114" s="8">
        <v>44373</v>
      </c>
      <c r="M114" s="7" t="s">
        <v>36</v>
      </c>
      <c r="N114" s="7" t="s">
        <v>16</v>
      </c>
      <c r="O114" s="7" t="s">
        <v>8</v>
      </c>
      <c r="R114">
        <f>RANK(J114,$J$2:$J$151,0)</f>
        <v>79</v>
      </c>
    </row>
    <row r="115" spans="1:18" ht="18" customHeight="1" x14ac:dyDescent="0.3">
      <c r="A115" s="6" t="s">
        <v>94</v>
      </c>
      <c r="B115" s="2" t="s">
        <v>70</v>
      </c>
      <c r="C115" s="6">
        <v>41</v>
      </c>
      <c r="D115" s="2" t="s">
        <v>33</v>
      </c>
      <c r="E115" s="2" t="s">
        <v>32</v>
      </c>
      <c r="F115" s="2" t="s">
        <v>31</v>
      </c>
      <c r="G115" s="6">
        <v>2199.35</v>
      </c>
      <c r="H115" s="6">
        <v>319.44</v>
      </c>
      <c r="I115" s="5">
        <v>419627.21</v>
      </c>
      <c r="J115" s="5">
        <v>552476.76</v>
      </c>
      <c r="K115" s="4">
        <v>31.66</v>
      </c>
      <c r="L115" s="3">
        <v>44838</v>
      </c>
      <c r="M115" s="2" t="s">
        <v>30</v>
      </c>
      <c r="N115" s="2" t="s">
        <v>1</v>
      </c>
      <c r="O115" s="2" t="s">
        <v>0</v>
      </c>
      <c r="R115">
        <f>RANK(J115,$J$2:$J$151,0)</f>
        <v>35</v>
      </c>
    </row>
    <row r="116" spans="1:18" ht="18" customHeight="1" x14ac:dyDescent="0.3">
      <c r="A116" s="11" t="s">
        <v>93</v>
      </c>
      <c r="B116" s="7" t="s">
        <v>68</v>
      </c>
      <c r="C116" s="11">
        <v>36</v>
      </c>
      <c r="D116" s="7" t="s">
        <v>26</v>
      </c>
      <c r="E116" s="7" t="s">
        <v>25</v>
      </c>
      <c r="F116" s="7" t="s">
        <v>24</v>
      </c>
      <c r="G116" s="11">
        <v>2416.71</v>
      </c>
      <c r="H116" s="11">
        <v>71.709999999999994</v>
      </c>
      <c r="I116" s="10">
        <v>440458.72</v>
      </c>
      <c r="J116" s="10">
        <v>518091.85</v>
      </c>
      <c r="K116" s="9">
        <v>17.63</v>
      </c>
      <c r="L116" s="8">
        <v>44870</v>
      </c>
      <c r="M116" s="7" t="s">
        <v>23</v>
      </c>
      <c r="N116" s="7" t="s">
        <v>16</v>
      </c>
      <c r="O116" s="7" t="s">
        <v>8</v>
      </c>
      <c r="R116">
        <f>RANK(J116,$J$2:$J$151,0)</f>
        <v>39</v>
      </c>
    </row>
    <row r="117" spans="1:18" ht="18" customHeight="1" x14ac:dyDescent="0.3">
      <c r="A117" s="6" t="s">
        <v>92</v>
      </c>
      <c r="B117" s="2" t="s">
        <v>66</v>
      </c>
      <c r="C117" s="6">
        <v>24</v>
      </c>
      <c r="D117" s="2" t="s">
        <v>20</v>
      </c>
      <c r="E117" s="2" t="s">
        <v>19</v>
      </c>
      <c r="F117" s="2" t="s">
        <v>18</v>
      </c>
      <c r="G117" s="6">
        <v>677.98</v>
      </c>
      <c r="H117" s="6">
        <v>652.75</v>
      </c>
      <c r="I117" s="5">
        <v>39594.71</v>
      </c>
      <c r="J117" s="5">
        <v>52633.96</v>
      </c>
      <c r="K117" s="4">
        <v>32.93</v>
      </c>
      <c r="L117" s="12">
        <v>44095</v>
      </c>
      <c r="M117" s="2" t="s">
        <v>17</v>
      </c>
      <c r="N117" s="2" t="s">
        <v>16</v>
      </c>
      <c r="O117" s="2" t="s">
        <v>29</v>
      </c>
      <c r="R117">
        <f>RANK(J117,$J$2:$J$151,0)</f>
        <v>141</v>
      </c>
    </row>
    <row r="118" spans="1:18" ht="18" customHeight="1" x14ac:dyDescent="0.3">
      <c r="A118" s="11" t="s">
        <v>91</v>
      </c>
      <c r="B118" s="7" t="s">
        <v>64</v>
      </c>
      <c r="C118" s="11">
        <v>63</v>
      </c>
      <c r="D118" s="7" t="s">
        <v>13</v>
      </c>
      <c r="E118" s="7" t="s">
        <v>12</v>
      </c>
      <c r="F118" s="7" t="s">
        <v>11</v>
      </c>
      <c r="G118" s="11">
        <v>4638.6099999999997</v>
      </c>
      <c r="H118" s="11">
        <v>297.12</v>
      </c>
      <c r="I118" s="10">
        <v>371468.18</v>
      </c>
      <c r="J118" s="10">
        <v>805775.27</v>
      </c>
      <c r="K118" s="9">
        <v>116.92</v>
      </c>
      <c r="L118" s="8">
        <v>43963</v>
      </c>
      <c r="M118" s="7" t="s">
        <v>10</v>
      </c>
      <c r="N118" s="7" t="s">
        <v>9</v>
      </c>
      <c r="O118" s="7" t="s">
        <v>0</v>
      </c>
      <c r="R118">
        <f>RANK(J118,$J$2:$J$151,0)</f>
        <v>11</v>
      </c>
    </row>
    <row r="119" spans="1:18" ht="18" customHeight="1" x14ac:dyDescent="0.3">
      <c r="A119" s="6" t="s">
        <v>90</v>
      </c>
      <c r="B119" s="2" t="s">
        <v>62</v>
      </c>
      <c r="C119" s="6">
        <v>22</v>
      </c>
      <c r="D119" s="2" t="s">
        <v>5</v>
      </c>
      <c r="E119" s="2" t="s">
        <v>4</v>
      </c>
      <c r="F119" s="2" t="s">
        <v>3</v>
      </c>
      <c r="G119" s="6">
        <v>4149.6400000000003</v>
      </c>
      <c r="H119" s="6">
        <v>584.96</v>
      </c>
      <c r="I119" s="5">
        <v>466418.15</v>
      </c>
      <c r="J119" s="5">
        <v>680457.64</v>
      </c>
      <c r="K119" s="4">
        <v>45.89</v>
      </c>
      <c r="L119" s="3">
        <v>45148</v>
      </c>
      <c r="M119" s="2" t="s">
        <v>2</v>
      </c>
      <c r="N119" s="2" t="s">
        <v>1</v>
      </c>
      <c r="O119" s="2" t="s">
        <v>0</v>
      </c>
      <c r="R119">
        <f>RANK(J119,$J$2:$J$151,0)</f>
        <v>23</v>
      </c>
    </row>
    <row r="120" spans="1:18" ht="18" customHeight="1" x14ac:dyDescent="0.3">
      <c r="A120" s="11" t="s">
        <v>89</v>
      </c>
      <c r="B120" s="7" t="s">
        <v>60</v>
      </c>
      <c r="C120" s="11">
        <v>55</v>
      </c>
      <c r="D120" s="7" t="s">
        <v>51</v>
      </c>
      <c r="E120" s="7" t="s">
        <v>50</v>
      </c>
      <c r="F120" s="7" t="s">
        <v>49</v>
      </c>
      <c r="G120" s="11">
        <v>3821.94</v>
      </c>
      <c r="H120" s="11">
        <v>407.36</v>
      </c>
      <c r="I120" s="10">
        <v>360525.57</v>
      </c>
      <c r="J120" s="10">
        <v>411880.74</v>
      </c>
      <c r="K120" s="9">
        <v>14.24</v>
      </c>
      <c r="L120" s="8">
        <v>43922</v>
      </c>
      <c r="M120" s="7" t="s">
        <v>48</v>
      </c>
      <c r="N120" s="7" t="s">
        <v>16</v>
      </c>
      <c r="O120" s="7" t="s">
        <v>8</v>
      </c>
      <c r="R120">
        <f>RANK(J120,$J$2:$J$151,0)</f>
        <v>61</v>
      </c>
    </row>
    <row r="121" spans="1:18" ht="18" customHeight="1" x14ac:dyDescent="0.3">
      <c r="A121" s="6" t="s">
        <v>88</v>
      </c>
      <c r="B121" s="2" t="s">
        <v>58</v>
      </c>
      <c r="C121" s="6">
        <v>60</v>
      </c>
      <c r="D121" s="2" t="s">
        <v>45</v>
      </c>
      <c r="E121" s="2" t="s">
        <v>44</v>
      </c>
      <c r="F121" s="2" t="s">
        <v>43</v>
      </c>
      <c r="G121" s="6">
        <v>1139.8399999999999</v>
      </c>
      <c r="H121" s="6">
        <v>788.52</v>
      </c>
      <c r="I121" s="5">
        <v>218553.14</v>
      </c>
      <c r="J121" s="5">
        <v>447816.2</v>
      </c>
      <c r="K121" s="4">
        <v>104.9</v>
      </c>
      <c r="L121" s="3">
        <v>44955</v>
      </c>
      <c r="M121" s="2" t="s">
        <v>42</v>
      </c>
      <c r="N121" s="2" t="s">
        <v>9</v>
      </c>
      <c r="O121" s="2" t="s">
        <v>0</v>
      </c>
      <c r="R121">
        <f>RANK(J121,$J$2:$J$151,0)</f>
        <v>53</v>
      </c>
    </row>
    <row r="122" spans="1:18" ht="18" customHeight="1" x14ac:dyDescent="0.3">
      <c r="A122" s="11" t="s">
        <v>87</v>
      </c>
      <c r="B122" s="7" t="s">
        <v>56</v>
      </c>
      <c r="C122" s="11">
        <v>51</v>
      </c>
      <c r="D122" s="7" t="s">
        <v>39</v>
      </c>
      <c r="E122" s="7" t="s">
        <v>38</v>
      </c>
      <c r="F122" s="7" t="s">
        <v>37</v>
      </c>
      <c r="G122" s="11">
        <v>1478.14</v>
      </c>
      <c r="H122" s="11">
        <v>494.86</v>
      </c>
      <c r="I122" s="10">
        <v>386244.5</v>
      </c>
      <c r="J122" s="10">
        <v>704948.17</v>
      </c>
      <c r="K122" s="9">
        <v>82.51</v>
      </c>
      <c r="L122" s="8">
        <v>43897</v>
      </c>
      <c r="M122" s="7" t="s">
        <v>36</v>
      </c>
      <c r="N122" s="7" t="s">
        <v>16</v>
      </c>
      <c r="O122" s="7" t="s">
        <v>8</v>
      </c>
      <c r="R122">
        <f>RANK(J122,$J$2:$J$151,0)</f>
        <v>19</v>
      </c>
    </row>
    <row r="123" spans="1:18" ht="18" customHeight="1" x14ac:dyDescent="0.3">
      <c r="A123" s="6" t="s">
        <v>86</v>
      </c>
      <c r="B123" s="2" t="s">
        <v>54</v>
      </c>
      <c r="C123" s="6">
        <v>41</v>
      </c>
      <c r="D123" s="2" t="s">
        <v>33</v>
      </c>
      <c r="E123" s="2" t="s">
        <v>32</v>
      </c>
      <c r="F123" s="2" t="s">
        <v>31</v>
      </c>
      <c r="G123" s="6">
        <v>329.86</v>
      </c>
      <c r="H123" s="6">
        <v>45.41</v>
      </c>
      <c r="I123" s="5">
        <v>128337.45</v>
      </c>
      <c r="J123" s="5">
        <v>177254.82</v>
      </c>
      <c r="K123" s="4">
        <v>38.119999999999997</v>
      </c>
      <c r="L123" s="3">
        <v>44591</v>
      </c>
      <c r="M123" s="2" t="s">
        <v>30</v>
      </c>
      <c r="N123" s="2" t="s">
        <v>1</v>
      </c>
      <c r="O123" s="2" t="s">
        <v>29</v>
      </c>
      <c r="R123">
        <f>RANK(J123,$J$2:$J$151,0)</f>
        <v>109</v>
      </c>
    </row>
    <row r="124" spans="1:18" ht="18" customHeight="1" x14ac:dyDescent="0.3">
      <c r="A124" s="11" t="s">
        <v>85</v>
      </c>
      <c r="B124" s="7" t="s">
        <v>52</v>
      </c>
      <c r="C124" s="11">
        <v>53</v>
      </c>
      <c r="D124" s="7" t="s">
        <v>26</v>
      </c>
      <c r="E124" s="7" t="s">
        <v>25</v>
      </c>
      <c r="F124" s="7" t="s">
        <v>24</v>
      </c>
      <c r="G124" s="11">
        <v>3833.2</v>
      </c>
      <c r="H124" s="11">
        <v>241.7</v>
      </c>
      <c r="I124" s="10">
        <v>177565.89</v>
      </c>
      <c r="J124" s="10">
        <v>364492.58</v>
      </c>
      <c r="K124" s="9">
        <v>105.27</v>
      </c>
      <c r="L124" s="8">
        <v>45246</v>
      </c>
      <c r="M124" s="7" t="s">
        <v>23</v>
      </c>
      <c r="N124" s="7" t="s">
        <v>16</v>
      </c>
      <c r="O124" s="7" t="s">
        <v>0</v>
      </c>
      <c r="R124">
        <f>RANK(J124,$J$2:$J$151,0)</f>
        <v>71</v>
      </c>
    </row>
    <row r="125" spans="1:18" ht="18" customHeight="1" x14ac:dyDescent="0.3">
      <c r="A125" s="6" t="s">
        <v>84</v>
      </c>
      <c r="B125" s="2" t="s">
        <v>46</v>
      </c>
      <c r="C125" s="6">
        <v>24</v>
      </c>
      <c r="D125" s="2" t="s">
        <v>20</v>
      </c>
      <c r="E125" s="2" t="s">
        <v>19</v>
      </c>
      <c r="F125" s="2" t="s">
        <v>18</v>
      </c>
      <c r="G125" s="6">
        <v>3948.01</v>
      </c>
      <c r="H125" s="6">
        <v>469.3</v>
      </c>
      <c r="I125" s="5">
        <v>189583.07</v>
      </c>
      <c r="J125" s="5">
        <v>376486.63</v>
      </c>
      <c r="K125" s="4">
        <v>98.59</v>
      </c>
      <c r="L125" s="12">
        <v>45195</v>
      </c>
      <c r="M125" s="2" t="s">
        <v>17</v>
      </c>
      <c r="N125" s="2" t="s">
        <v>16</v>
      </c>
      <c r="O125" s="2" t="s">
        <v>0</v>
      </c>
      <c r="R125">
        <f>RANK(J125,$J$2:$J$151,0)</f>
        <v>70</v>
      </c>
    </row>
    <row r="126" spans="1:18" ht="18" customHeight="1" x14ac:dyDescent="0.3">
      <c r="A126" s="11" t="s">
        <v>83</v>
      </c>
      <c r="B126" s="7" t="s">
        <v>40</v>
      </c>
      <c r="C126" s="11">
        <v>48</v>
      </c>
      <c r="D126" s="7" t="s">
        <v>13</v>
      </c>
      <c r="E126" s="7" t="s">
        <v>12</v>
      </c>
      <c r="F126" s="7" t="s">
        <v>11</v>
      </c>
      <c r="G126" s="11">
        <v>4782.82</v>
      </c>
      <c r="H126" s="11">
        <v>225.88</v>
      </c>
      <c r="I126" s="10">
        <v>258658.96</v>
      </c>
      <c r="J126" s="10">
        <v>386985.73</v>
      </c>
      <c r="K126" s="9">
        <v>49.61</v>
      </c>
      <c r="L126" s="8">
        <v>43993</v>
      </c>
      <c r="M126" s="7" t="s">
        <v>10</v>
      </c>
      <c r="N126" s="7" t="s">
        <v>9</v>
      </c>
      <c r="O126" s="7" t="s">
        <v>8</v>
      </c>
      <c r="R126">
        <f>RANK(J126,$J$2:$J$151,0)</f>
        <v>66</v>
      </c>
    </row>
    <row r="127" spans="1:18" ht="18" customHeight="1" x14ac:dyDescent="0.3">
      <c r="A127" s="6" t="s">
        <v>82</v>
      </c>
      <c r="B127" s="2" t="s">
        <v>34</v>
      </c>
      <c r="C127" s="6">
        <v>46</v>
      </c>
      <c r="D127" s="2" t="s">
        <v>5</v>
      </c>
      <c r="E127" s="2" t="s">
        <v>4</v>
      </c>
      <c r="F127" s="2" t="s">
        <v>3</v>
      </c>
      <c r="G127" s="6">
        <v>3550.08</v>
      </c>
      <c r="H127" s="6">
        <v>581.89</v>
      </c>
      <c r="I127" s="5">
        <v>133828.13</v>
      </c>
      <c r="J127" s="5">
        <v>223241.11</v>
      </c>
      <c r="K127" s="4">
        <v>66.81</v>
      </c>
      <c r="L127" s="3">
        <v>44812</v>
      </c>
      <c r="M127" s="2" t="s">
        <v>2</v>
      </c>
      <c r="N127" s="2" t="s">
        <v>1</v>
      </c>
      <c r="O127" s="2" t="s">
        <v>0</v>
      </c>
      <c r="R127">
        <f>RANK(J127,$J$2:$J$151,0)</f>
        <v>98</v>
      </c>
    </row>
    <row r="128" spans="1:18" ht="18" customHeight="1" x14ac:dyDescent="0.3">
      <c r="A128" s="11" t="s">
        <v>81</v>
      </c>
      <c r="B128" s="7" t="s">
        <v>27</v>
      </c>
      <c r="C128" s="11">
        <v>22</v>
      </c>
      <c r="D128" s="7" t="s">
        <v>51</v>
      </c>
      <c r="E128" s="7" t="s">
        <v>50</v>
      </c>
      <c r="F128" s="7" t="s">
        <v>49</v>
      </c>
      <c r="G128" s="11">
        <v>2806.02</v>
      </c>
      <c r="H128" s="11">
        <v>620.87</v>
      </c>
      <c r="I128" s="10">
        <v>20008.78</v>
      </c>
      <c r="J128" s="10">
        <v>23763.21</v>
      </c>
      <c r="K128" s="9">
        <v>18.760000000000002</v>
      </c>
      <c r="L128" s="8">
        <v>44185</v>
      </c>
      <c r="M128" s="7" t="s">
        <v>48</v>
      </c>
      <c r="N128" s="7" t="s">
        <v>16</v>
      </c>
      <c r="O128" s="7" t="s">
        <v>8</v>
      </c>
      <c r="R128">
        <f>RANK(J128,$J$2:$J$151,0)</f>
        <v>144</v>
      </c>
    </row>
    <row r="129" spans="1:18" ht="18" customHeight="1" x14ac:dyDescent="0.3">
      <c r="A129" s="6" t="s">
        <v>80</v>
      </c>
      <c r="B129" s="2" t="s">
        <v>21</v>
      </c>
      <c r="C129" s="6">
        <v>65</v>
      </c>
      <c r="D129" s="2" t="s">
        <v>45</v>
      </c>
      <c r="E129" s="2" t="s">
        <v>44</v>
      </c>
      <c r="F129" s="2" t="s">
        <v>43</v>
      </c>
      <c r="G129" s="6">
        <v>4391.5</v>
      </c>
      <c r="H129" s="6">
        <v>575.48</v>
      </c>
      <c r="I129" s="5">
        <v>13804.88</v>
      </c>
      <c r="J129" s="5">
        <v>21584.84</v>
      </c>
      <c r="K129" s="4">
        <v>56.36</v>
      </c>
      <c r="L129" s="3">
        <v>44286</v>
      </c>
      <c r="M129" s="2" t="s">
        <v>42</v>
      </c>
      <c r="N129" s="2" t="s">
        <v>9</v>
      </c>
      <c r="O129" s="2" t="s">
        <v>29</v>
      </c>
      <c r="R129">
        <f>RANK(J129,$J$2:$J$151,0)</f>
        <v>145</v>
      </c>
    </row>
    <row r="130" spans="1:18" ht="18" customHeight="1" x14ac:dyDescent="0.3">
      <c r="A130" s="11" t="s">
        <v>79</v>
      </c>
      <c r="B130" s="7" t="s">
        <v>14</v>
      </c>
      <c r="C130" s="11">
        <v>41</v>
      </c>
      <c r="D130" s="7" t="s">
        <v>39</v>
      </c>
      <c r="E130" s="7" t="s">
        <v>38</v>
      </c>
      <c r="F130" s="7" t="s">
        <v>37</v>
      </c>
      <c r="G130" s="11">
        <v>1316.24</v>
      </c>
      <c r="H130" s="11">
        <v>326.87</v>
      </c>
      <c r="I130" s="10">
        <v>203543.35</v>
      </c>
      <c r="J130" s="10">
        <v>415981.84</v>
      </c>
      <c r="K130" s="9">
        <v>104.37</v>
      </c>
      <c r="L130" s="8">
        <v>44598</v>
      </c>
      <c r="M130" s="7" t="s">
        <v>36</v>
      </c>
      <c r="N130" s="7" t="s">
        <v>16</v>
      </c>
      <c r="O130" s="7" t="s">
        <v>0</v>
      </c>
      <c r="R130">
        <f>RANK(J130,$J$2:$J$151,0)</f>
        <v>60</v>
      </c>
    </row>
    <row r="131" spans="1:18" ht="18" customHeight="1" x14ac:dyDescent="0.3">
      <c r="A131" s="6" t="s">
        <v>78</v>
      </c>
      <c r="B131" s="2" t="s">
        <v>6</v>
      </c>
      <c r="C131" s="6">
        <v>32</v>
      </c>
      <c r="D131" s="2" t="s">
        <v>33</v>
      </c>
      <c r="E131" s="2" t="s">
        <v>32</v>
      </c>
      <c r="F131" s="2" t="s">
        <v>31</v>
      </c>
      <c r="G131" s="6">
        <v>79.94</v>
      </c>
      <c r="H131" s="6">
        <v>446.62</v>
      </c>
      <c r="I131" s="5">
        <v>235000.84</v>
      </c>
      <c r="J131" s="5">
        <v>433197.8</v>
      </c>
      <c r="K131" s="4">
        <v>84.34</v>
      </c>
      <c r="L131" s="3">
        <v>44816</v>
      </c>
      <c r="M131" s="2" t="s">
        <v>30</v>
      </c>
      <c r="N131" s="2" t="s">
        <v>1</v>
      </c>
      <c r="O131" s="2" t="s">
        <v>0</v>
      </c>
      <c r="R131">
        <f>RANK(J131,$J$2:$J$151,0)</f>
        <v>57</v>
      </c>
    </row>
    <row r="132" spans="1:18" ht="18" customHeight="1" x14ac:dyDescent="0.3">
      <c r="A132" s="11" t="s">
        <v>77</v>
      </c>
      <c r="B132" s="7" t="s">
        <v>76</v>
      </c>
      <c r="C132" s="11">
        <v>62</v>
      </c>
      <c r="D132" s="7" t="s">
        <v>26</v>
      </c>
      <c r="E132" s="7" t="s">
        <v>25</v>
      </c>
      <c r="F132" s="7" t="s">
        <v>24</v>
      </c>
      <c r="G132" s="11">
        <v>1626.66</v>
      </c>
      <c r="H132" s="11">
        <v>512.66</v>
      </c>
      <c r="I132" s="10">
        <v>167229.34</v>
      </c>
      <c r="J132" s="10">
        <v>173993.61</v>
      </c>
      <c r="K132" s="9">
        <v>4.04</v>
      </c>
      <c r="L132" s="8">
        <v>45094</v>
      </c>
      <c r="M132" s="7" t="s">
        <v>23</v>
      </c>
      <c r="N132" s="7" t="s">
        <v>16</v>
      </c>
      <c r="O132" s="7" t="s">
        <v>8</v>
      </c>
      <c r="R132">
        <f>RANK(J132,$J$2:$J$151,0)</f>
        <v>111</v>
      </c>
    </row>
    <row r="133" spans="1:18" ht="18" customHeight="1" x14ac:dyDescent="0.3">
      <c r="A133" s="6" t="s">
        <v>75</v>
      </c>
      <c r="B133" s="2" t="s">
        <v>74</v>
      </c>
      <c r="C133" s="6">
        <v>25</v>
      </c>
      <c r="D133" s="2" t="s">
        <v>20</v>
      </c>
      <c r="E133" s="2" t="s">
        <v>19</v>
      </c>
      <c r="F133" s="2" t="s">
        <v>18</v>
      </c>
      <c r="G133" s="6">
        <v>2541.6999999999998</v>
      </c>
      <c r="H133" s="6">
        <v>452.7</v>
      </c>
      <c r="I133" s="5">
        <v>295794.77</v>
      </c>
      <c r="J133" s="5">
        <v>569113.14</v>
      </c>
      <c r="K133" s="4">
        <v>92.4</v>
      </c>
      <c r="L133" s="12">
        <v>44787</v>
      </c>
      <c r="M133" s="2" t="s">
        <v>17</v>
      </c>
      <c r="N133" s="2" t="s">
        <v>16</v>
      </c>
      <c r="O133" s="2" t="s">
        <v>0</v>
      </c>
      <c r="R133">
        <f>RANK(J133,$J$2:$J$151,0)</f>
        <v>31</v>
      </c>
    </row>
    <row r="134" spans="1:18" ht="18" customHeight="1" x14ac:dyDescent="0.3">
      <c r="A134" s="11" t="s">
        <v>73</v>
      </c>
      <c r="B134" s="7" t="s">
        <v>72</v>
      </c>
      <c r="C134" s="11">
        <v>35</v>
      </c>
      <c r="D134" s="7" t="s">
        <v>13</v>
      </c>
      <c r="E134" s="7" t="s">
        <v>12</v>
      </c>
      <c r="F134" s="7" t="s">
        <v>11</v>
      </c>
      <c r="G134" s="11">
        <v>2525.6799999999998</v>
      </c>
      <c r="H134" s="11">
        <v>638.83000000000004</v>
      </c>
      <c r="I134" s="10">
        <v>201400.11</v>
      </c>
      <c r="J134" s="10">
        <v>260964.85</v>
      </c>
      <c r="K134" s="9">
        <v>29.58</v>
      </c>
      <c r="L134" s="8">
        <v>44698</v>
      </c>
      <c r="M134" s="7" t="s">
        <v>10</v>
      </c>
      <c r="N134" s="7" t="s">
        <v>9</v>
      </c>
      <c r="O134" s="7" t="s">
        <v>8</v>
      </c>
      <c r="R134">
        <f>RANK(J134,$J$2:$J$151,0)</f>
        <v>92</v>
      </c>
    </row>
    <row r="135" spans="1:18" ht="18" customHeight="1" x14ac:dyDescent="0.3">
      <c r="A135" s="6" t="s">
        <v>71</v>
      </c>
      <c r="B135" s="2" t="s">
        <v>70</v>
      </c>
      <c r="C135" s="6">
        <v>56</v>
      </c>
      <c r="D135" s="2" t="s">
        <v>5</v>
      </c>
      <c r="E135" s="2" t="s">
        <v>4</v>
      </c>
      <c r="F135" s="2" t="s">
        <v>3</v>
      </c>
      <c r="G135" s="6">
        <v>1615.32</v>
      </c>
      <c r="H135" s="6">
        <v>782.35</v>
      </c>
      <c r="I135" s="5">
        <v>353499.43</v>
      </c>
      <c r="J135" s="5">
        <v>343182.99</v>
      </c>
      <c r="K135" s="4">
        <v>-2.92</v>
      </c>
      <c r="L135" s="3">
        <v>45118</v>
      </c>
      <c r="M135" s="2" t="s">
        <v>2</v>
      </c>
      <c r="N135" s="2" t="s">
        <v>1</v>
      </c>
      <c r="O135" s="2" t="s">
        <v>29</v>
      </c>
      <c r="R135">
        <f>RANK(J135,$J$2:$J$151,0)</f>
        <v>75</v>
      </c>
    </row>
    <row r="136" spans="1:18" ht="18" customHeight="1" x14ac:dyDescent="0.3">
      <c r="A136" s="11" t="s">
        <v>69</v>
      </c>
      <c r="B136" s="7" t="s">
        <v>68</v>
      </c>
      <c r="C136" s="11">
        <v>37</v>
      </c>
      <c r="D136" s="7" t="s">
        <v>51</v>
      </c>
      <c r="E136" s="7" t="s">
        <v>50</v>
      </c>
      <c r="F136" s="7" t="s">
        <v>49</v>
      </c>
      <c r="G136" s="11">
        <v>3983.94</v>
      </c>
      <c r="H136" s="11">
        <v>321.62</v>
      </c>
      <c r="I136" s="10">
        <v>486154.42</v>
      </c>
      <c r="J136" s="10">
        <v>880674.43</v>
      </c>
      <c r="K136" s="9">
        <v>81.150000000000006</v>
      </c>
      <c r="L136" s="8">
        <v>44302</v>
      </c>
      <c r="M136" s="7" t="s">
        <v>48</v>
      </c>
      <c r="N136" s="7" t="s">
        <v>16</v>
      </c>
      <c r="O136" s="7" t="s">
        <v>0</v>
      </c>
      <c r="R136">
        <f>RANK(J136,$J$2:$J$151,0)</f>
        <v>6</v>
      </c>
    </row>
    <row r="137" spans="1:18" ht="18" customHeight="1" x14ac:dyDescent="0.3">
      <c r="A137" s="6" t="s">
        <v>67</v>
      </c>
      <c r="B137" s="2" t="s">
        <v>66</v>
      </c>
      <c r="C137" s="6">
        <v>43</v>
      </c>
      <c r="D137" s="2" t="s">
        <v>45</v>
      </c>
      <c r="E137" s="2" t="s">
        <v>44</v>
      </c>
      <c r="F137" s="2" t="s">
        <v>43</v>
      </c>
      <c r="G137" s="6">
        <v>449.57</v>
      </c>
      <c r="H137" s="6">
        <v>66.44</v>
      </c>
      <c r="I137" s="5">
        <v>32968.83</v>
      </c>
      <c r="J137" s="5">
        <v>56086.76</v>
      </c>
      <c r="K137" s="4">
        <v>70.12</v>
      </c>
      <c r="L137" s="3">
        <v>44608</v>
      </c>
      <c r="M137" s="2" t="s">
        <v>42</v>
      </c>
      <c r="N137" s="2" t="s">
        <v>9</v>
      </c>
      <c r="O137" s="2" t="s">
        <v>0</v>
      </c>
      <c r="R137">
        <f>RANK(J137,$J$2:$J$151,0)</f>
        <v>140</v>
      </c>
    </row>
    <row r="138" spans="1:18" ht="18" customHeight="1" x14ac:dyDescent="0.3">
      <c r="A138" s="11" t="s">
        <v>65</v>
      </c>
      <c r="B138" s="7" t="s">
        <v>64</v>
      </c>
      <c r="C138" s="11">
        <v>35</v>
      </c>
      <c r="D138" s="7" t="s">
        <v>39</v>
      </c>
      <c r="E138" s="7" t="s">
        <v>38</v>
      </c>
      <c r="F138" s="7" t="s">
        <v>37</v>
      </c>
      <c r="G138" s="11">
        <v>3658.97</v>
      </c>
      <c r="H138" s="11">
        <v>224.22</v>
      </c>
      <c r="I138" s="10">
        <v>172921.72</v>
      </c>
      <c r="J138" s="10">
        <v>148598.82</v>
      </c>
      <c r="K138" s="9">
        <v>-14.07</v>
      </c>
      <c r="L138" s="3">
        <v>44608</v>
      </c>
      <c r="M138" s="7" t="s">
        <v>36</v>
      </c>
      <c r="N138" s="7" t="s">
        <v>16</v>
      </c>
      <c r="O138" s="7" t="s">
        <v>8</v>
      </c>
      <c r="R138">
        <f>RANK(J138,$J$2:$J$151,0)</f>
        <v>117</v>
      </c>
    </row>
    <row r="139" spans="1:18" ht="18" customHeight="1" x14ac:dyDescent="0.3">
      <c r="A139" s="6" t="s">
        <v>63</v>
      </c>
      <c r="B139" s="2" t="s">
        <v>62</v>
      </c>
      <c r="C139" s="6">
        <v>63</v>
      </c>
      <c r="D139" s="2" t="s">
        <v>33</v>
      </c>
      <c r="E139" s="2" t="s">
        <v>32</v>
      </c>
      <c r="F139" s="2" t="s">
        <v>31</v>
      </c>
      <c r="G139" s="6">
        <v>2803.02</v>
      </c>
      <c r="H139" s="6">
        <v>516.83000000000004</v>
      </c>
      <c r="I139" s="5">
        <v>300244.71999999997</v>
      </c>
      <c r="J139" s="5">
        <v>516269.03</v>
      </c>
      <c r="K139" s="4">
        <v>71.95</v>
      </c>
      <c r="L139" s="3">
        <v>44484</v>
      </c>
      <c r="M139" s="2" t="s">
        <v>30</v>
      </c>
      <c r="N139" s="2" t="s">
        <v>1</v>
      </c>
      <c r="O139" s="2" t="s">
        <v>0</v>
      </c>
      <c r="R139">
        <f>RANK(J139,$J$2:$J$151,0)</f>
        <v>41</v>
      </c>
    </row>
    <row r="140" spans="1:18" ht="18" customHeight="1" x14ac:dyDescent="0.3">
      <c r="A140" s="11" t="s">
        <v>61</v>
      </c>
      <c r="B140" s="7" t="s">
        <v>60</v>
      </c>
      <c r="C140" s="11">
        <v>39</v>
      </c>
      <c r="D140" s="7" t="s">
        <v>26</v>
      </c>
      <c r="E140" s="7" t="s">
        <v>25</v>
      </c>
      <c r="F140" s="7" t="s">
        <v>24</v>
      </c>
      <c r="G140" s="11">
        <v>3696.76</v>
      </c>
      <c r="H140" s="11">
        <v>151.53</v>
      </c>
      <c r="I140" s="10">
        <v>462468.96</v>
      </c>
      <c r="J140" s="10">
        <v>693536.77</v>
      </c>
      <c r="K140" s="9">
        <v>49.96</v>
      </c>
      <c r="L140" s="8">
        <v>44597</v>
      </c>
      <c r="M140" s="7" t="s">
        <v>23</v>
      </c>
      <c r="N140" s="7" t="s">
        <v>16</v>
      </c>
      <c r="O140" s="7" t="s">
        <v>8</v>
      </c>
      <c r="R140">
        <f>RANK(J140,$J$2:$J$151,0)</f>
        <v>20</v>
      </c>
    </row>
    <row r="141" spans="1:18" ht="18" customHeight="1" x14ac:dyDescent="0.3">
      <c r="A141" s="6" t="s">
        <v>59</v>
      </c>
      <c r="B141" s="2" t="s">
        <v>58</v>
      </c>
      <c r="C141" s="6">
        <v>30</v>
      </c>
      <c r="D141" s="2" t="s">
        <v>20</v>
      </c>
      <c r="E141" s="2" t="s">
        <v>19</v>
      </c>
      <c r="F141" s="2" t="s">
        <v>18</v>
      </c>
      <c r="G141" s="6">
        <v>4777.57</v>
      </c>
      <c r="H141" s="6">
        <v>793.32</v>
      </c>
      <c r="I141" s="5">
        <v>234720.15</v>
      </c>
      <c r="J141" s="5">
        <v>343574.23</v>
      </c>
      <c r="K141" s="4">
        <v>46.38</v>
      </c>
      <c r="L141" s="12">
        <v>44893</v>
      </c>
      <c r="M141" s="2" t="s">
        <v>17</v>
      </c>
      <c r="N141" s="2" t="s">
        <v>16</v>
      </c>
      <c r="O141" s="2" t="s">
        <v>29</v>
      </c>
      <c r="R141">
        <f>RANK(J141,$J$2:$J$151,0)</f>
        <v>74</v>
      </c>
    </row>
    <row r="142" spans="1:18" ht="18" customHeight="1" x14ac:dyDescent="0.3">
      <c r="A142" s="11" t="s">
        <v>57</v>
      </c>
      <c r="B142" s="7" t="s">
        <v>56</v>
      </c>
      <c r="C142" s="11">
        <v>53</v>
      </c>
      <c r="D142" s="7" t="s">
        <v>13</v>
      </c>
      <c r="E142" s="7" t="s">
        <v>12</v>
      </c>
      <c r="F142" s="7" t="s">
        <v>11</v>
      </c>
      <c r="G142" s="11">
        <v>3004.92</v>
      </c>
      <c r="H142" s="11">
        <v>253.96</v>
      </c>
      <c r="I142" s="10">
        <v>226110.13</v>
      </c>
      <c r="J142" s="10">
        <v>333824.87</v>
      </c>
      <c r="K142" s="9">
        <v>47.64</v>
      </c>
      <c r="L142" s="8">
        <v>44031</v>
      </c>
      <c r="M142" s="7" t="s">
        <v>10</v>
      </c>
      <c r="N142" s="7" t="s">
        <v>9</v>
      </c>
      <c r="O142" s="7" t="s">
        <v>0</v>
      </c>
      <c r="R142">
        <f>RANK(J142,$J$2:$J$151,0)</f>
        <v>78</v>
      </c>
    </row>
    <row r="143" spans="1:18" ht="18" customHeight="1" x14ac:dyDescent="0.3">
      <c r="A143" s="6" t="s">
        <v>55</v>
      </c>
      <c r="B143" s="2" t="s">
        <v>54</v>
      </c>
      <c r="C143" s="6">
        <v>52</v>
      </c>
      <c r="D143" s="2" t="s">
        <v>5</v>
      </c>
      <c r="E143" s="2" t="s">
        <v>4</v>
      </c>
      <c r="F143" s="2" t="s">
        <v>3</v>
      </c>
      <c r="G143" s="6">
        <v>215.63</v>
      </c>
      <c r="H143" s="6">
        <v>737.83</v>
      </c>
      <c r="I143" s="5">
        <v>339504.35</v>
      </c>
      <c r="J143" s="5">
        <v>376926.47</v>
      </c>
      <c r="K143" s="4">
        <v>11.02</v>
      </c>
      <c r="L143" s="3">
        <v>44538</v>
      </c>
      <c r="M143" s="2" t="s">
        <v>2</v>
      </c>
      <c r="N143" s="2" t="s">
        <v>1</v>
      </c>
      <c r="O143" s="2" t="s">
        <v>0</v>
      </c>
      <c r="R143">
        <f>RANK(J143,$J$2:$J$151,0)</f>
        <v>69</v>
      </c>
    </row>
    <row r="144" spans="1:18" ht="18" customHeight="1" x14ac:dyDescent="0.3">
      <c r="A144" s="11" t="s">
        <v>53</v>
      </c>
      <c r="B144" s="7" t="s">
        <v>52</v>
      </c>
      <c r="C144" s="11">
        <v>53</v>
      </c>
      <c r="D144" s="7" t="s">
        <v>51</v>
      </c>
      <c r="E144" s="7" t="s">
        <v>50</v>
      </c>
      <c r="F144" s="7" t="s">
        <v>49</v>
      </c>
      <c r="G144" s="11">
        <v>107.41</v>
      </c>
      <c r="H144" s="11">
        <v>360.06</v>
      </c>
      <c r="I144" s="10">
        <v>473562.13</v>
      </c>
      <c r="J144" s="10">
        <v>932101.2</v>
      </c>
      <c r="K144" s="9">
        <v>96.83</v>
      </c>
      <c r="L144" s="8">
        <v>44231</v>
      </c>
      <c r="M144" s="7" t="s">
        <v>48</v>
      </c>
      <c r="N144" s="7" t="s">
        <v>16</v>
      </c>
      <c r="O144" s="7" t="s">
        <v>8</v>
      </c>
      <c r="R144">
        <f>RANK(J144,$J$2:$J$151,0)</f>
        <v>4</v>
      </c>
    </row>
    <row r="145" spans="1:18" ht="18" customHeight="1" x14ac:dyDescent="0.3">
      <c r="A145" s="6" t="s">
        <v>47</v>
      </c>
      <c r="B145" s="2" t="s">
        <v>46</v>
      </c>
      <c r="C145" s="6">
        <v>30</v>
      </c>
      <c r="D145" s="2" t="s">
        <v>45</v>
      </c>
      <c r="E145" s="2" t="s">
        <v>44</v>
      </c>
      <c r="F145" s="2" t="s">
        <v>43</v>
      </c>
      <c r="G145" s="6">
        <v>4395.37</v>
      </c>
      <c r="H145" s="6">
        <v>114.95</v>
      </c>
      <c r="I145" s="5">
        <v>455278.87</v>
      </c>
      <c r="J145" s="5">
        <v>651060.22</v>
      </c>
      <c r="K145" s="4">
        <v>43</v>
      </c>
      <c r="L145" s="3">
        <v>44938</v>
      </c>
      <c r="M145" s="2" t="s">
        <v>42</v>
      </c>
      <c r="N145" s="2" t="s">
        <v>9</v>
      </c>
      <c r="O145" s="2" t="s">
        <v>0</v>
      </c>
      <c r="R145">
        <f>RANK(J145,$J$2:$J$151,0)</f>
        <v>27</v>
      </c>
    </row>
    <row r="146" spans="1:18" ht="18" customHeight="1" x14ac:dyDescent="0.3">
      <c r="A146" s="11" t="s">
        <v>41</v>
      </c>
      <c r="B146" s="7" t="s">
        <v>40</v>
      </c>
      <c r="C146" s="11">
        <v>22</v>
      </c>
      <c r="D146" s="7" t="s">
        <v>39</v>
      </c>
      <c r="E146" s="7" t="s">
        <v>38</v>
      </c>
      <c r="F146" s="7" t="s">
        <v>37</v>
      </c>
      <c r="G146" s="11">
        <v>609.25</v>
      </c>
      <c r="H146" s="11">
        <v>479.22</v>
      </c>
      <c r="I146" s="10">
        <v>98458.53</v>
      </c>
      <c r="J146" s="10">
        <v>210583.16</v>
      </c>
      <c r="K146" s="9">
        <v>113.88</v>
      </c>
      <c r="L146" s="8">
        <v>44350</v>
      </c>
      <c r="M146" s="7" t="s">
        <v>36</v>
      </c>
      <c r="N146" s="7" t="s">
        <v>16</v>
      </c>
      <c r="O146" s="7" t="s">
        <v>8</v>
      </c>
      <c r="R146">
        <f>RANK(J146,$J$2:$J$151,0)</f>
        <v>103</v>
      </c>
    </row>
    <row r="147" spans="1:18" ht="18" customHeight="1" x14ac:dyDescent="0.3">
      <c r="A147" s="6" t="s">
        <v>35</v>
      </c>
      <c r="B147" s="2" t="s">
        <v>34</v>
      </c>
      <c r="C147" s="6">
        <v>23</v>
      </c>
      <c r="D147" s="2" t="s">
        <v>33</v>
      </c>
      <c r="E147" s="2" t="s">
        <v>32</v>
      </c>
      <c r="F147" s="2" t="s">
        <v>31</v>
      </c>
      <c r="G147" s="6">
        <v>1762.31</v>
      </c>
      <c r="H147" s="6">
        <v>781.16</v>
      </c>
      <c r="I147" s="5">
        <v>479297.55</v>
      </c>
      <c r="J147" s="5">
        <v>903690.25</v>
      </c>
      <c r="K147" s="4">
        <v>88.54</v>
      </c>
      <c r="L147" s="3">
        <v>43910</v>
      </c>
      <c r="M147" s="2" t="s">
        <v>30</v>
      </c>
      <c r="N147" s="2" t="s">
        <v>1</v>
      </c>
      <c r="O147" s="2" t="s">
        <v>29</v>
      </c>
      <c r="R147">
        <f>RANK(J147,$J$2:$J$151,0)</f>
        <v>5</v>
      </c>
    </row>
    <row r="148" spans="1:18" ht="18" customHeight="1" x14ac:dyDescent="0.3">
      <c r="A148" s="11" t="s">
        <v>28</v>
      </c>
      <c r="B148" s="7" t="s">
        <v>27</v>
      </c>
      <c r="C148" s="11">
        <v>34</v>
      </c>
      <c r="D148" s="7" t="s">
        <v>26</v>
      </c>
      <c r="E148" s="7" t="s">
        <v>25</v>
      </c>
      <c r="F148" s="7" t="s">
        <v>24</v>
      </c>
      <c r="G148" s="11">
        <v>1137.5999999999999</v>
      </c>
      <c r="H148" s="11">
        <v>490.61</v>
      </c>
      <c r="I148" s="10">
        <v>107291.74</v>
      </c>
      <c r="J148" s="10">
        <v>166091.85999999999</v>
      </c>
      <c r="K148" s="9">
        <v>54.8</v>
      </c>
      <c r="L148" s="8">
        <v>43844</v>
      </c>
      <c r="M148" s="7" t="s">
        <v>23</v>
      </c>
      <c r="N148" s="7" t="s">
        <v>16</v>
      </c>
      <c r="O148" s="7" t="s">
        <v>0</v>
      </c>
      <c r="R148">
        <f>RANK(J148,$J$2:$J$151,0)</f>
        <v>112</v>
      </c>
    </row>
    <row r="149" spans="1:18" ht="18" customHeight="1" x14ac:dyDescent="0.3">
      <c r="A149" s="6" t="s">
        <v>22</v>
      </c>
      <c r="B149" s="2" t="s">
        <v>21</v>
      </c>
      <c r="C149" s="6">
        <v>33</v>
      </c>
      <c r="D149" s="2" t="s">
        <v>20</v>
      </c>
      <c r="E149" s="2" t="s">
        <v>19</v>
      </c>
      <c r="F149" s="2" t="s">
        <v>18</v>
      </c>
      <c r="G149" s="6">
        <v>2333.34</v>
      </c>
      <c r="H149" s="6">
        <v>391.49</v>
      </c>
      <c r="I149" s="5">
        <v>415190.22</v>
      </c>
      <c r="J149" s="5">
        <v>547278.67000000004</v>
      </c>
      <c r="K149" s="4">
        <v>31.81</v>
      </c>
      <c r="L149" s="12">
        <v>44522</v>
      </c>
      <c r="M149" s="2" t="s">
        <v>17</v>
      </c>
      <c r="N149" s="2" t="s">
        <v>16</v>
      </c>
      <c r="O149" s="2" t="s">
        <v>0</v>
      </c>
      <c r="R149">
        <f>RANK(J149,$J$2:$J$151,0)</f>
        <v>36</v>
      </c>
    </row>
    <row r="150" spans="1:18" ht="18" customHeight="1" x14ac:dyDescent="0.3">
      <c r="A150" s="11" t="s">
        <v>15</v>
      </c>
      <c r="B150" s="7" t="s">
        <v>14</v>
      </c>
      <c r="C150" s="11">
        <v>37</v>
      </c>
      <c r="D150" s="7" t="s">
        <v>13</v>
      </c>
      <c r="E150" s="7" t="s">
        <v>12</v>
      </c>
      <c r="F150" s="7" t="s">
        <v>11</v>
      </c>
      <c r="G150" s="11">
        <v>1496.74</v>
      </c>
      <c r="H150" s="11">
        <v>523.6</v>
      </c>
      <c r="I150" s="10">
        <v>56816.98</v>
      </c>
      <c r="J150" s="10">
        <v>92914.15</v>
      </c>
      <c r="K150" s="9">
        <v>63.53</v>
      </c>
      <c r="L150" s="8">
        <v>43915</v>
      </c>
      <c r="M150" s="7" t="s">
        <v>10</v>
      </c>
      <c r="N150" s="7" t="s">
        <v>9</v>
      </c>
      <c r="O150" s="7" t="s">
        <v>8</v>
      </c>
      <c r="R150">
        <f>RANK(J150,$J$2:$J$151,0)</f>
        <v>131</v>
      </c>
    </row>
    <row r="151" spans="1:18" ht="18" customHeight="1" x14ac:dyDescent="0.3">
      <c r="A151" s="6" t="s">
        <v>7</v>
      </c>
      <c r="B151" s="2" t="s">
        <v>6</v>
      </c>
      <c r="C151" s="6">
        <v>35</v>
      </c>
      <c r="D151" s="2" t="s">
        <v>5</v>
      </c>
      <c r="E151" s="2" t="s">
        <v>4</v>
      </c>
      <c r="F151" s="2" t="s">
        <v>3</v>
      </c>
      <c r="G151" s="6">
        <v>4002.2</v>
      </c>
      <c r="H151" s="6">
        <v>331.95</v>
      </c>
      <c r="I151" s="5">
        <v>399545.71</v>
      </c>
      <c r="J151" s="5">
        <v>755821.87</v>
      </c>
      <c r="K151" s="4">
        <v>89.17</v>
      </c>
      <c r="L151" s="3">
        <v>44586</v>
      </c>
      <c r="M151" s="2" t="s">
        <v>2</v>
      </c>
      <c r="N151" s="2" t="s">
        <v>1</v>
      </c>
      <c r="O151" s="2" t="s">
        <v>0</v>
      </c>
      <c r="R151">
        <f>RANK(J151,$J$2:$J$151,0)</f>
        <v>16</v>
      </c>
    </row>
  </sheetData>
  <autoFilter ref="A1:O151" xr:uid="{00000000-0001-0000-0300-000000000000}">
    <sortState xmlns:xlrd2="http://schemas.microsoft.com/office/spreadsheetml/2017/richdata2" ref="A2:O151">
      <sortCondition ref="A1:A151"/>
    </sortState>
  </autoFilter>
  <conditionalFormatting sqref="K1:K1048576">
    <cfRule type="cellIs" dxfId="1" priority="1" operator="greaterThan">
      <formula>20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2955-1324-496D-97D2-DA5640D1089C}">
  <dimension ref="A1:E87"/>
  <sheetViews>
    <sheetView topLeftCell="A10" workbookViewId="0">
      <selection activeCell="E47" sqref="E47"/>
    </sheetView>
  </sheetViews>
  <sheetFormatPr defaultRowHeight="14.4" x14ac:dyDescent="0.3"/>
  <cols>
    <col min="1" max="1" width="5" customWidth="1"/>
    <col min="2" max="2" width="12" customWidth="1"/>
    <col min="3" max="3" width="55" customWidth="1"/>
    <col min="4" max="4" width="21.88671875" customWidth="1"/>
    <col min="5" max="5" width="30" customWidth="1"/>
  </cols>
  <sheetData>
    <row r="1" spans="1:5" ht="31.95" customHeight="1" x14ac:dyDescent="0.3">
      <c r="A1" s="43" t="s">
        <v>350</v>
      </c>
      <c r="B1" s="21"/>
      <c r="C1" s="21"/>
      <c r="D1" s="21"/>
      <c r="E1" s="21"/>
    </row>
    <row r="2" spans="1:5" ht="16.05" customHeight="1" x14ac:dyDescent="0.3">
      <c r="A2" s="42" t="s">
        <v>349</v>
      </c>
      <c r="B2" s="21"/>
      <c r="C2" s="21"/>
      <c r="D2" s="21"/>
      <c r="E2" s="21"/>
    </row>
    <row r="3" spans="1:5" ht="22.05" customHeight="1" x14ac:dyDescent="0.3">
      <c r="A3" s="41" t="s">
        <v>348</v>
      </c>
      <c r="B3" s="41" t="s">
        <v>347</v>
      </c>
      <c r="C3" s="41" t="s">
        <v>346</v>
      </c>
      <c r="D3" s="41" t="s">
        <v>345</v>
      </c>
      <c r="E3" s="41" t="s">
        <v>344</v>
      </c>
    </row>
    <row r="4" spans="1:5" ht="22.05" customHeight="1" x14ac:dyDescent="0.3">
      <c r="A4" s="40" t="s">
        <v>343</v>
      </c>
      <c r="B4" s="21"/>
      <c r="C4" s="21"/>
      <c r="D4" s="21"/>
      <c r="E4" s="21"/>
    </row>
    <row r="5" spans="1:5" ht="36" customHeight="1" x14ac:dyDescent="0.3">
      <c r="A5" s="37">
        <v>1</v>
      </c>
      <c r="B5" s="36" t="s">
        <v>323</v>
      </c>
      <c r="C5" s="35" t="s">
        <v>342</v>
      </c>
      <c r="D5" s="34">
        <f>COUNTA(A2:A151)</f>
        <v>86</v>
      </c>
      <c r="E5" s="16">
        <f>COUNTA(DB2_MutualFunds!A2:A151)</f>
        <v>150</v>
      </c>
    </row>
    <row r="6" spans="1:5" ht="36" customHeight="1" x14ac:dyDescent="0.3">
      <c r="A6" s="37">
        <v>2</v>
      </c>
      <c r="B6" s="36" t="s">
        <v>323</v>
      </c>
      <c r="C6" s="35" t="s">
        <v>341</v>
      </c>
      <c r="D6" s="34">
        <f>SUM(I2:I151)</f>
        <v>0</v>
      </c>
      <c r="E6" s="39">
        <f>SUM(DB2_MutualFunds!I2:I151)</f>
        <v>36561470.059999987</v>
      </c>
    </row>
    <row r="7" spans="1:5" ht="36" customHeight="1" x14ac:dyDescent="0.3">
      <c r="A7" s="37">
        <v>3</v>
      </c>
      <c r="B7" s="36" t="s">
        <v>323</v>
      </c>
      <c r="C7" s="35" t="s">
        <v>340</v>
      </c>
      <c r="D7" s="34">
        <f>SUM(J2:J151)</f>
        <v>0</v>
      </c>
      <c r="E7" s="39">
        <f>SUM(DB2_MutualFunds!J2:J151)</f>
        <v>56460766.069999993</v>
      </c>
    </row>
    <row r="8" spans="1:5" ht="36" customHeight="1" x14ac:dyDescent="0.3">
      <c r="A8" s="37">
        <v>4</v>
      </c>
      <c r="B8" s="36" t="s">
        <v>323</v>
      </c>
      <c r="C8" s="35" t="s">
        <v>339</v>
      </c>
      <c r="D8" s="34">
        <f>MAX(K2:K151)</f>
        <v>0</v>
      </c>
      <c r="E8" s="38">
        <f>MAX(DB2_MutualFunds!K2:K151)</f>
        <v>119.51</v>
      </c>
    </row>
    <row r="9" spans="1:5" ht="36" customHeight="1" x14ac:dyDescent="0.3">
      <c r="A9" s="37">
        <v>5</v>
      </c>
      <c r="B9" s="36" t="s">
        <v>323</v>
      </c>
      <c r="C9" s="35" t="s">
        <v>338</v>
      </c>
      <c r="D9" s="34">
        <f>MIN(K2:K151)</f>
        <v>0</v>
      </c>
      <c r="E9" s="38">
        <f>MIN(DB2_MutualFunds!K2:K151)</f>
        <v>-14.51</v>
      </c>
    </row>
    <row r="10" spans="1:5" ht="36" customHeight="1" x14ac:dyDescent="0.3">
      <c r="A10" s="37">
        <v>6</v>
      </c>
      <c r="B10" s="36" t="s">
        <v>323</v>
      </c>
      <c r="C10" s="35" t="s">
        <v>337</v>
      </c>
      <c r="D10" s="34">
        <f>COUNTIF(O2:O151,"Active")</f>
        <v>0</v>
      </c>
      <c r="E10" s="16">
        <f>COUNTIF(DB2_MutualFunds!O2:O151,"active")</f>
        <v>75</v>
      </c>
    </row>
    <row r="11" spans="1:5" ht="36" customHeight="1" x14ac:dyDescent="0.3">
      <c r="A11" s="37">
        <v>7</v>
      </c>
      <c r="B11" s="36" t="s">
        <v>323</v>
      </c>
      <c r="C11" s="35" t="s">
        <v>336</v>
      </c>
      <c r="D11" s="34" t="e">
        <f>AVERAGE(H2:H151)</f>
        <v>#DIV/0!</v>
      </c>
      <c r="E11" s="16">
        <f>AVERAGE(DB2_MutualFunds!H2:H151)</f>
        <v>406.30520000000024</v>
      </c>
    </row>
    <row r="12" spans="1:5" ht="36" customHeight="1" x14ac:dyDescent="0.3">
      <c r="A12" s="37">
        <v>8</v>
      </c>
      <c r="B12" s="36" t="s">
        <v>323</v>
      </c>
      <c r="C12" s="35" t="s">
        <v>335</v>
      </c>
      <c r="D12" s="34" t="e">
        <f>AVERAGE(G2:G151)</f>
        <v>#DIV/0!</v>
      </c>
      <c r="E12" s="16">
        <f>AVERAGE(DB2_MutualFunds!G2:G151)</f>
        <v>2385.9015999999997</v>
      </c>
    </row>
    <row r="13" spans="1:5" ht="36" customHeight="1" x14ac:dyDescent="0.3">
      <c r="A13" s="37">
        <v>9</v>
      </c>
      <c r="B13" s="36" t="s">
        <v>323</v>
      </c>
      <c r="C13" s="35" t="s">
        <v>334</v>
      </c>
      <c r="D13" s="34">
        <f>COUNTIF(F2:F151,"Small Cap")</f>
        <v>0</v>
      </c>
      <c r="E13" s="16">
        <f>COUNTIF(DB2_MutualFunds!F2:F151,"small cap")</f>
        <v>19</v>
      </c>
    </row>
    <row r="14" spans="1:5" ht="36" customHeight="1" x14ac:dyDescent="0.3">
      <c r="A14" s="37">
        <v>10</v>
      </c>
      <c r="B14" s="36" t="s">
        <v>323</v>
      </c>
      <c r="C14" s="35" t="s">
        <v>333</v>
      </c>
      <c r="D14" s="34">
        <f>SUMIF(F2:F151,"Large Cap",I2:I151)</f>
        <v>0</v>
      </c>
      <c r="E14" s="16">
        <f>SUMIF(DB2_MutualFunds!F2:F151,"large cap",DB2_MutualFunds!I2:I151)</f>
        <v>3256009.2000000007</v>
      </c>
    </row>
    <row r="15" spans="1:5" ht="36" customHeight="1" x14ac:dyDescent="0.3">
      <c r="A15" s="37">
        <v>11</v>
      </c>
      <c r="B15" s="36" t="s">
        <v>323</v>
      </c>
      <c r="C15" s="35" t="s">
        <v>332</v>
      </c>
      <c r="D15" s="34">
        <f>MAX(J2:J151)</f>
        <v>0</v>
      </c>
      <c r="E15" s="39">
        <f>MAX(DB2_MutualFunds!J2:J151)</f>
        <v>1031522.74</v>
      </c>
    </row>
    <row r="16" spans="1:5" ht="36" customHeight="1" x14ac:dyDescent="0.3">
      <c r="A16" s="37">
        <v>12</v>
      </c>
      <c r="B16" s="36" t="s">
        <v>323</v>
      </c>
      <c r="C16" s="35" t="s">
        <v>331</v>
      </c>
      <c r="D16" s="34">
        <f>MIN(I2:I151)</f>
        <v>0</v>
      </c>
      <c r="E16" s="39">
        <f>MIN(DB2_MutualFunds!I2:I151)</f>
        <v>7372.84</v>
      </c>
    </row>
    <row r="17" spans="1:5" ht="36" customHeight="1" x14ac:dyDescent="0.3">
      <c r="A17" s="37">
        <v>13</v>
      </c>
      <c r="B17" s="36" t="s">
        <v>323</v>
      </c>
      <c r="C17" s="35" t="s">
        <v>330</v>
      </c>
      <c r="D17" s="34" t="str">
        <f ca="1">COUNTIF(D2:D151,"Mumbai")</f>
        <v/>
      </c>
      <c r="E17" s="16">
        <f>COUNTIF(DB2_MutualFunds!D2:D151,"mumbai")</f>
        <v>18</v>
      </c>
    </row>
    <row r="18" spans="1:5" ht="36" customHeight="1" x14ac:dyDescent="0.3">
      <c r="A18" s="37">
        <v>14</v>
      </c>
      <c r="B18" s="36" t="s">
        <v>323</v>
      </c>
      <c r="C18" s="35" t="s">
        <v>329</v>
      </c>
      <c r="D18" s="34">
        <f>SUMIF(D2:D151,"Bangalore",I2:I151)</f>
        <v>0</v>
      </c>
      <c r="E18" s="16">
        <f>SUMIF(DB2_MutualFunds!D2:D151,"bangalore",DB2_MutualFunds!I2:I151)</f>
        <v>4576225.6900000004</v>
      </c>
    </row>
    <row r="19" spans="1:5" ht="36" customHeight="1" x14ac:dyDescent="0.3">
      <c r="A19" s="37">
        <v>15</v>
      </c>
      <c r="B19" s="36" t="s">
        <v>323</v>
      </c>
      <c r="C19" s="35" t="s">
        <v>328</v>
      </c>
      <c r="D19" s="34">
        <f ca="1">COUNTA(E2:E151)</f>
        <v>41</v>
      </c>
      <c r="E19" s="16">
        <f>COUNTA(DB2_MutualFunds!E2:E151)</f>
        <v>150</v>
      </c>
    </row>
    <row r="20" spans="1:5" ht="36" customHeight="1" x14ac:dyDescent="0.3">
      <c r="A20" s="37">
        <v>16</v>
      </c>
      <c r="B20" s="36" t="s">
        <v>323</v>
      </c>
      <c r="C20" s="35" t="s">
        <v>327</v>
      </c>
      <c r="D20" s="34" t="str">
        <f>UPPER(M2)</f>
        <v/>
      </c>
      <c r="E20" s="16" t="str">
        <f>UPPER(DB2_MutualFunds!M2)</f>
        <v>HDFC AMC</v>
      </c>
    </row>
    <row r="21" spans="1:5" ht="36" customHeight="1" x14ac:dyDescent="0.3">
      <c r="A21" s="37">
        <v>17</v>
      </c>
      <c r="B21" s="36" t="s">
        <v>323</v>
      </c>
      <c r="C21" s="35" t="s">
        <v>326</v>
      </c>
      <c r="D21" s="34">
        <f>LEN(E2)</f>
        <v>0</v>
      </c>
      <c r="E21" s="16">
        <f>LEN(DB2_MutualFunds!E2)</f>
        <v>26</v>
      </c>
    </row>
    <row r="22" spans="1:5" ht="36" customHeight="1" x14ac:dyDescent="0.3">
      <c r="A22" s="37">
        <v>18</v>
      </c>
      <c r="B22" s="36" t="s">
        <v>323</v>
      </c>
      <c r="C22" s="35" t="s">
        <v>325</v>
      </c>
      <c r="D22" s="34" t="str">
        <f>LEFT(A2,4)</f>
        <v>🟢 Ba</v>
      </c>
      <c r="E22" s="16" t="str">
        <f>LEFT(DB2_MutualFunds!A2,4)</f>
        <v>INV2</v>
      </c>
    </row>
    <row r="23" spans="1:5" ht="36" customHeight="1" x14ac:dyDescent="0.3">
      <c r="A23" s="37">
        <v>19</v>
      </c>
      <c r="B23" s="36" t="s">
        <v>323</v>
      </c>
      <c r="C23" s="35" t="s">
        <v>324</v>
      </c>
      <c r="D23" s="34" t="e">
        <f ca="1">TODAY()-L2  (format result as number)</f>
        <v>#NAME?</v>
      </c>
      <c r="E23" s="38">
        <f ca="1">TODAY()-DB2_MutualFunds!L2</f>
        <v>2203</v>
      </c>
    </row>
    <row r="24" spans="1:5" ht="36" customHeight="1" x14ac:dyDescent="0.3">
      <c r="A24" s="37">
        <v>20</v>
      </c>
      <c r="B24" s="36" t="s">
        <v>323</v>
      </c>
      <c r="C24" s="35" t="s">
        <v>322</v>
      </c>
      <c r="D24" s="34">
        <f>COUNTIF(N2:N151,"High")</f>
        <v>0</v>
      </c>
      <c r="E24" s="16">
        <f>COUNTIF(DB2_MutualFunds!N2:N151,"high")</f>
        <v>38</v>
      </c>
    </row>
    <row r="25" spans="1:5" ht="22.05" customHeight="1" x14ac:dyDescent="0.3">
      <c r="A25" s="33" t="s">
        <v>321</v>
      </c>
      <c r="B25" s="21"/>
      <c r="C25" s="21"/>
      <c r="D25" s="21"/>
      <c r="E25" s="21"/>
    </row>
    <row r="26" spans="1:5" ht="36" customHeight="1" x14ac:dyDescent="0.3">
      <c r="A26" s="31">
        <v>21</v>
      </c>
      <c r="B26" s="30" t="s">
        <v>296</v>
      </c>
      <c r="C26" s="29" t="s">
        <v>320</v>
      </c>
      <c r="D26" s="28">
        <f ca="1">SUMIFS(J2:J151,N2:N151,"High",O2:O151,"Active")</f>
        <v>0</v>
      </c>
      <c r="E26" s="16">
        <f>SUMIFS(DB2_MutualFunds!J2:J151,DB2_MutualFunds!N2:N151,"high",DB2_MutualFunds!O2:O151,"active")</f>
        <v>8619615.4099999983</v>
      </c>
    </row>
    <row r="27" spans="1:5" ht="36" customHeight="1" x14ac:dyDescent="0.3">
      <c r="A27" s="31">
        <v>22</v>
      </c>
      <c r="B27" s="30" t="s">
        <v>296</v>
      </c>
      <c r="C27" s="29" t="s">
        <v>319</v>
      </c>
      <c r="D27" s="28">
        <f>COUNTIF(K2:K151,"&gt;20")</f>
        <v>0</v>
      </c>
      <c r="E27" s="16">
        <f>COUNTIF(DB2_MutualFunds!K2:K151,"&gt;20")</f>
        <v>109</v>
      </c>
    </row>
    <row r="28" spans="1:5" ht="36" customHeight="1" x14ac:dyDescent="0.3">
      <c r="A28" s="31">
        <v>23</v>
      </c>
      <c r="B28" s="30" t="s">
        <v>296</v>
      </c>
      <c r="C28" s="29" t="s">
        <v>318</v>
      </c>
      <c r="D28" s="28" t="e">
        <f>VLOOKUP("INV2050",A2:J151,10,0)</f>
        <v>#N/A</v>
      </c>
      <c r="E28" s="16">
        <f>VLOOKUP(DB2_MutualFunds!A51,DB2_MutualFunds!A2:O152,10,)</f>
        <v>758257.34</v>
      </c>
    </row>
    <row r="29" spans="1:5" ht="36" customHeight="1" x14ac:dyDescent="0.3">
      <c r="A29" s="31">
        <v>24</v>
      </c>
      <c r="B29" s="30" t="s">
        <v>296</v>
      </c>
      <c r="C29" s="29" t="s">
        <v>317</v>
      </c>
      <c r="D29" s="28" t="e">
        <f ca="1">_xludf.XLOOKUP("INV2075",A2:A151,E2:E151,"Not Found")</f>
        <v>#NAME?</v>
      </c>
      <c r="E29" s="16" t="str">
        <f>_xlfn.XLOOKUP(DB2_MutualFunds!A76,DB2_MutualFunds!A2:A152,DB2_MutualFunds!E2:E152)</f>
        <v>Mirae Asset Emerging Bluechip</v>
      </c>
    </row>
    <row r="30" spans="1:5" ht="36" customHeight="1" x14ac:dyDescent="0.3">
      <c r="A30" s="31">
        <v>25</v>
      </c>
      <c r="B30" s="30" t="s">
        <v>296</v>
      </c>
      <c r="C30" s="29" t="s">
        <v>316</v>
      </c>
      <c r="D30" s="28" t="e">
        <f>IF(K2&gt;20,"Excellent",IF(K2&gt;=0,"Good","Loss"))  drag down</f>
        <v>#VALUE!</v>
      </c>
      <c r="E30" s="16" t="str">
        <f>IF(K2&gt;20,"excellent",IF(K2&gt;0,"good","bad"))</f>
        <v>bad</v>
      </c>
    </row>
    <row r="31" spans="1:5" ht="36" customHeight="1" x14ac:dyDescent="0.3">
      <c r="A31" s="31">
        <v>26</v>
      </c>
      <c r="B31" s="30" t="s">
        <v>296</v>
      </c>
      <c r="C31" s="29" t="s">
        <v>315</v>
      </c>
      <c r="D31" s="28" t="e">
        <f>AVERAGEIF(F2:F151,"Mid Cap",K2:K151)</f>
        <v>#DIV/0!</v>
      </c>
      <c r="E31" s="16">
        <f>AVERAGEIF(DB2_MutualFunds!F2:F151,"mid cap",DB2_MutualFunds!K2:K151)</f>
        <v>60.646842105263183</v>
      </c>
    </row>
    <row r="32" spans="1:5" ht="36" customHeight="1" x14ac:dyDescent="0.3">
      <c r="A32" s="31">
        <v>27</v>
      </c>
      <c r="B32" s="30" t="s">
        <v>296</v>
      </c>
      <c r="C32" s="29" t="s">
        <v>314</v>
      </c>
      <c r="D32" s="28" t="str">
        <f>C2&amp;" ("&amp;D2&amp;")"</f>
        <v xml:space="preserve"> ()</v>
      </c>
      <c r="E32" s="16" t="str">
        <f>CONCATENATE(DB2_MutualFunds!B2,"-",DB2_MutualFunds!D2)</f>
        <v>Renu Saxena-Pune</v>
      </c>
    </row>
    <row r="33" spans="1:5" ht="36" customHeight="1" x14ac:dyDescent="0.3">
      <c r="A33" s="31">
        <v>28</v>
      </c>
      <c r="B33" s="30" t="s">
        <v>296</v>
      </c>
      <c r="C33" s="29" t="s">
        <v>313</v>
      </c>
      <c r="D33" s="28" t="s">
        <v>312</v>
      </c>
      <c r="E33" s="16" t="s">
        <v>309</v>
      </c>
    </row>
    <row r="34" spans="1:5" ht="36" customHeight="1" x14ac:dyDescent="0.3">
      <c r="A34" s="31">
        <v>29</v>
      </c>
      <c r="B34" s="30" t="s">
        <v>296</v>
      </c>
      <c r="C34" s="29" t="s">
        <v>311</v>
      </c>
      <c r="D34" s="28" t="s">
        <v>310</v>
      </c>
      <c r="E34" s="16" t="s">
        <v>309</v>
      </c>
    </row>
    <row r="35" spans="1:5" ht="36" customHeight="1" x14ac:dyDescent="0.3">
      <c r="A35" s="31">
        <v>30</v>
      </c>
      <c r="B35" s="30" t="s">
        <v>296</v>
      </c>
      <c r="C35" s="29" t="s">
        <v>308</v>
      </c>
      <c r="D35" s="28"/>
      <c r="E35" s="16" cm="1">
        <f t="array" ref="E35">SUMPRODUCT(DB2_MutualFunds!J2:J151-DB2_MutualFunds!I2:I151)</f>
        <v>19899296.010000002</v>
      </c>
    </row>
    <row r="36" spans="1:5" ht="36" customHeight="1" x14ac:dyDescent="0.3">
      <c r="A36" s="31">
        <v>31</v>
      </c>
      <c r="B36" s="30" t="s">
        <v>296</v>
      </c>
      <c r="C36" s="29" t="s">
        <v>307</v>
      </c>
      <c r="D36" s="28" t="str">
        <f>IFERROR(VLOOKUP("INV9999",A2:J151,2,0),"ID Not Found")</f>
        <v>ID Not Found</v>
      </c>
      <c r="E36" s="16" t="str">
        <f>IFERROR(VLOOKUP("INV9999",A2:O151,2,FALSE),"ID Not Found")</f>
        <v>ID Not Found</v>
      </c>
    </row>
    <row r="37" spans="1:5" ht="36" customHeight="1" x14ac:dyDescent="0.3">
      <c r="A37" s="31">
        <v>32</v>
      </c>
      <c r="B37" s="30" t="s">
        <v>296</v>
      </c>
      <c r="C37" s="29" t="s">
        <v>306</v>
      </c>
      <c r="D37" s="28" t="e">
        <f ca="1">_xludf.MAXIFS(J2:J151,D2:D151,"Delhi")</f>
        <v>#NAME?</v>
      </c>
      <c r="E37" s="16">
        <f>_xlfn.MAXIFS(DB2_MutualFunds!J2:J151,DB2_MutualFunds!D2:D151,"delhi")</f>
        <v>903690.25</v>
      </c>
    </row>
    <row r="38" spans="1:5" ht="36" customHeight="1" x14ac:dyDescent="0.3">
      <c r="A38" s="31">
        <v>33</v>
      </c>
      <c r="B38" s="30" t="s">
        <v>296</v>
      </c>
      <c r="C38" s="29" t="s">
        <v>305</v>
      </c>
      <c r="D38" s="28" t="e">
        <f>AVERAGEIFS(I2:I151,C2:C151,"&gt;40")</f>
        <v>#DIV/0!</v>
      </c>
      <c r="E38" s="16">
        <f>AVERAGEIF(DB2_MutualFunds!C2:C151,"&gt;40",DB2_MutualFunds!I2:I151)</f>
        <v>245873.65525000001</v>
      </c>
    </row>
    <row r="39" spans="1:5" ht="36" customHeight="1" x14ac:dyDescent="0.3">
      <c r="A39" s="31">
        <v>34</v>
      </c>
      <c r="B39" s="30" t="s">
        <v>296</v>
      </c>
      <c r="C39" s="29" t="s">
        <v>304</v>
      </c>
      <c r="D39" s="28" t="str">
        <f>TEXT(L2,"MMMM YYYY")</f>
        <v>January 1900</v>
      </c>
      <c r="E39" s="16" t="str">
        <f>TEXT(DB2_MutualFunds!L2,"mmmm yyyy")</f>
        <v>June 2020</v>
      </c>
    </row>
    <row r="40" spans="1:5" ht="36" customHeight="1" x14ac:dyDescent="0.3">
      <c r="A40" s="31">
        <v>35</v>
      </c>
      <c r="B40" s="30" t="s">
        <v>296</v>
      </c>
      <c r="C40" s="29" t="s">
        <v>303</v>
      </c>
      <c r="D40" s="28"/>
      <c r="E40" s="16">
        <f>RANK(DB2_MutualFunds!J2,DB2_MutualFunds!J2:J151,0)</f>
        <v>127</v>
      </c>
    </row>
    <row r="41" spans="1:5" ht="36" customHeight="1" x14ac:dyDescent="0.3">
      <c r="A41" s="31">
        <v>36</v>
      </c>
      <c r="B41" s="30" t="s">
        <v>296</v>
      </c>
      <c r="C41" s="29" t="s">
        <v>302</v>
      </c>
      <c r="D41" s="28" t="s">
        <v>301</v>
      </c>
      <c r="E41" s="32" t="s">
        <v>300</v>
      </c>
    </row>
    <row r="42" spans="1:5" ht="36" customHeight="1" x14ac:dyDescent="0.3">
      <c r="A42" s="31">
        <v>37</v>
      </c>
      <c r="B42" s="30" t="s">
        <v>296</v>
      </c>
      <c r="C42" s="29" t="s">
        <v>299</v>
      </c>
      <c r="D42" s="28">
        <f ca="1">SUMIFS(I2:I151,M2:M151,"HDFC AMC",N2:N151,"Moderate")</f>
        <v>0</v>
      </c>
      <c r="E42" s="16">
        <f>SUMIFS(DB2_MutualFunds!I2:I151,DB2_MutualFunds!M2:M151,"hdfc amc",DB2_MutualFunds!N2:N151,"moderate")</f>
        <v>3600093.9699999997</v>
      </c>
    </row>
    <row r="43" spans="1:5" ht="36" customHeight="1" x14ac:dyDescent="0.3">
      <c r="A43" s="31">
        <v>38</v>
      </c>
      <c r="B43" s="30" t="s">
        <v>296</v>
      </c>
      <c r="C43" s="29" t="s">
        <v>298</v>
      </c>
      <c r="D43" s="28" t="str">
        <f ca="1">COUNTIFS(D2:D151,"Pune",K2:K151,"&gt;15")</f>
        <v/>
      </c>
      <c r="E43" s="16">
        <f>COUNTIFS(DB2_MutualFunds!D2:D151,"pune",DB2_MutualFunds!K2:K151,"&gt;15")</f>
        <v>14</v>
      </c>
    </row>
    <row r="44" spans="1:5" ht="36" customHeight="1" x14ac:dyDescent="0.3">
      <c r="A44" s="31">
        <v>39</v>
      </c>
      <c r="B44" s="30" t="s">
        <v>296</v>
      </c>
      <c r="C44" s="29" t="s">
        <v>297</v>
      </c>
      <c r="D44" s="28" t="e">
        <f>FIND(" ",B2)</f>
        <v>#VALUE!</v>
      </c>
      <c r="E44" s="16">
        <f>FIND(" ",DB2_MutualFunds!B2,1)</f>
        <v>5</v>
      </c>
    </row>
    <row r="45" spans="1:5" ht="36" customHeight="1" x14ac:dyDescent="0.3">
      <c r="A45" s="31">
        <v>40</v>
      </c>
      <c r="B45" s="30" t="s">
        <v>296</v>
      </c>
      <c r="C45" s="29" t="s">
        <v>295</v>
      </c>
      <c r="D45" s="28" t="e">
        <f>LEFT(B2,FIND(" ",B2)-1)</f>
        <v>#VALUE!</v>
      </c>
      <c r="E45" s="16" t="str">
        <f>LEFT(DB2_MutualFunds!B2,FIND(" ",DB2_MutualFunds!B2)-1)</f>
        <v>Renu</v>
      </c>
    </row>
    <row r="46" spans="1:5" ht="22.05" customHeight="1" x14ac:dyDescent="0.3">
      <c r="A46" s="27" t="s">
        <v>294</v>
      </c>
      <c r="B46" s="21"/>
      <c r="C46" s="21"/>
      <c r="D46" s="21"/>
      <c r="E46" s="21"/>
    </row>
    <row r="47" spans="1:5" ht="36" customHeight="1" x14ac:dyDescent="0.3">
      <c r="A47" s="26">
        <v>41</v>
      </c>
      <c r="B47" s="25" t="s">
        <v>262</v>
      </c>
      <c r="C47" s="24" t="s">
        <v>293</v>
      </c>
      <c r="D47" s="23" t="s">
        <v>292</v>
      </c>
      <c r="E47" s="16"/>
    </row>
    <row r="48" spans="1:5" ht="36" customHeight="1" x14ac:dyDescent="0.3">
      <c r="A48" s="26">
        <v>42</v>
      </c>
      <c r="B48" s="25" t="s">
        <v>262</v>
      </c>
      <c r="C48" s="24" t="s">
        <v>291</v>
      </c>
      <c r="D48" s="23" t="e">
        <f>INDEX(B2:B151,MATCH(MAX(K2:K151),K2:K151,0))</f>
        <v>#N/A</v>
      </c>
      <c r="E48" s="16"/>
    </row>
    <row r="49" spans="1:5" ht="36" customHeight="1" x14ac:dyDescent="0.3">
      <c r="A49" s="26">
        <v>43</v>
      </c>
      <c r="B49" s="25" t="s">
        <v>262</v>
      </c>
      <c r="C49" s="24" t="s">
        <v>290</v>
      </c>
      <c r="D49" s="23" t="e">
        <f>IF(C2&lt;30,"Young",IF(C2&lt;50,"Mid","Senior"))  drag down</f>
        <v>#VALUE!</v>
      </c>
      <c r="E49" s="16"/>
    </row>
    <row r="50" spans="1:5" ht="36" customHeight="1" x14ac:dyDescent="0.3">
      <c r="A50" s="26">
        <v>44</v>
      </c>
      <c r="B50" s="25" t="s">
        <v>262</v>
      </c>
      <c r="C50" s="24" t="s">
        <v>289</v>
      </c>
      <c r="D50" s="23" t="s">
        <v>288</v>
      </c>
      <c r="E50" s="16"/>
    </row>
    <row r="51" spans="1:5" ht="36" customHeight="1" x14ac:dyDescent="0.3">
      <c r="A51" s="26">
        <v>45</v>
      </c>
      <c r="B51" s="25" t="s">
        <v>262</v>
      </c>
      <c r="C51" s="24" t="s">
        <v>287</v>
      </c>
      <c r="D51" s="23" t="s">
        <v>286</v>
      </c>
      <c r="E51" s="16"/>
    </row>
    <row r="52" spans="1:5" ht="36" customHeight="1" x14ac:dyDescent="0.3">
      <c r="A52" s="26">
        <v>46</v>
      </c>
      <c r="B52" s="25" t="s">
        <v>262</v>
      </c>
      <c r="C52" s="24" t="s">
        <v>285</v>
      </c>
      <c r="D52" s="23" t="s">
        <v>284</v>
      </c>
      <c r="E52" s="16"/>
    </row>
    <row r="53" spans="1:5" ht="36" customHeight="1" x14ac:dyDescent="0.3">
      <c r="A53" s="26">
        <v>47</v>
      </c>
      <c r="B53" s="25" t="s">
        <v>262</v>
      </c>
      <c r="C53" s="24" t="s">
        <v>283</v>
      </c>
      <c r="D53" s="23" t="s">
        <v>282</v>
      </c>
      <c r="E53" s="16"/>
    </row>
    <row r="54" spans="1:5" ht="36" customHeight="1" x14ac:dyDescent="0.3">
      <c r="A54" s="26">
        <v>48</v>
      </c>
      <c r="B54" s="25" t="s">
        <v>262</v>
      </c>
      <c r="C54" s="24" t="s">
        <v>281</v>
      </c>
      <c r="D54" s="23" t="s">
        <v>280</v>
      </c>
      <c r="E54" s="16"/>
    </row>
    <row r="55" spans="1:5" ht="36" customHeight="1" x14ac:dyDescent="0.3">
      <c r="A55" s="26">
        <v>49</v>
      </c>
      <c r="B55" s="25" t="s">
        <v>262</v>
      </c>
      <c r="C55" s="24" t="s">
        <v>279</v>
      </c>
      <c r="D55" s="23"/>
      <c r="E55" s="16"/>
    </row>
    <row r="56" spans="1:5" ht="36" customHeight="1" x14ac:dyDescent="0.3">
      <c r="A56" s="26">
        <v>50</v>
      </c>
      <c r="B56" s="25" t="s">
        <v>262</v>
      </c>
      <c r="C56" s="24" t="s">
        <v>278</v>
      </c>
      <c r="D56" s="23">
        <f ca="1">SUMIFS(I2:I151,L2:L151,"&gt;="&amp;DATE(2021,1,1),L2:L151,"&lt;"&amp;DATE(2022,1,1))</f>
        <v>0</v>
      </c>
      <c r="E56" s="16"/>
    </row>
    <row r="57" spans="1:5" ht="36" customHeight="1" x14ac:dyDescent="0.3">
      <c r="A57" s="26">
        <v>51</v>
      </c>
      <c r="B57" s="25" t="s">
        <v>262</v>
      </c>
      <c r="C57" s="24" t="s">
        <v>277</v>
      </c>
      <c r="D57" s="23" t="s">
        <v>276</v>
      </c>
      <c r="E57" s="16"/>
    </row>
    <row r="58" spans="1:5" ht="36" customHeight="1" x14ac:dyDescent="0.3">
      <c r="A58" s="26">
        <v>52</v>
      </c>
      <c r="B58" s="25" t="s">
        <v>262</v>
      </c>
      <c r="C58" s="24" t="s">
        <v>275</v>
      </c>
      <c r="D58" s="23" t="s">
        <v>274</v>
      </c>
      <c r="E58" s="16"/>
    </row>
    <row r="59" spans="1:5" ht="36" customHeight="1" x14ac:dyDescent="0.3">
      <c r="A59" s="26">
        <v>53</v>
      </c>
      <c r="B59" s="25" t="s">
        <v>262</v>
      </c>
      <c r="C59" s="24" t="s">
        <v>273</v>
      </c>
      <c r="D59" s="23" t="s">
        <v>272</v>
      </c>
      <c r="E59" s="16"/>
    </row>
    <row r="60" spans="1:5" ht="36" customHeight="1" x14ac:dyDescent="0.3">
      <c r="A60" s="26">
        <v>54</v>
      </c>
      <c r="B60" s="25" t="s">
        <v>262</v>
      </c>
      <c r="C60" s="24" t="s">
        <v>271</v>
      </c>
      <c r="D60" s="23" t="s">
        <v>270</v>
      </c>
      <c r="E60" s="16"/>
    </row>
    <row r="61" spans="1:5" ht="36" customHeight="1" x14ac:dyDescent="0.3">
      <c r="A61" s="26">
        <v>55</v>
      </c>
      <c r="B61" s="25" t="s">
        <v>262</v>
      </c>
      <c r="C61" s="24" t="s">
        <v>269</v>
      </c>
      <c r="D61" s="23">
        <f>COUNTIFS(C2:C151,"&lt;35",K2:K151,"&gt;15",N2:N151,"High")</f>
        <v>0</v>
      </c>
      <c r="E61" s="16"/>
    </row>
    <row r="62" spans="1:5" ht="36" customHeight="1" x14ac:dyDescent="0.3">
      <c r="A62" s="26">
        <v>56</v>
      </c>
      <c r="B62" s="25" t="s">
        <v>262</v>
      </c>
      <c r="C62" s="24" t="s">
        <v>268</v>
      </c>
      <c r="D62" s="23" t="e">
        <f ca="1">_xludf.MAXIFS(K2:K151,O2:O151,"Active") — repeat for Paused, Stopped</f>
        <v>#NAME?</v>
      </c>
      <c r="E62" s="16"/>
    </row>
    <row r="63" spans="1:5" ht="36" customHeight="1" x14ac:dyDescent="0.3">
      <c r="A63" s="26">
        <v>57</v>
      </c>
      <c r="B63" s="25" t="s">
        <v>262</v>
      </c>
      <c r="C63" s="24" t="s">
        <v>267</v>
      </c>
      <c r="D63" s="23" t="s">
        <v>266</v>
      </c>
      <c r="E63" s="16"/>
    </row>
    <row r="64" spans="1:5" ht="36" customHeight="1" x14ac:dyDescent="0.3">
      <c r="A64" s="26">
        <v>58</v>
      </c>
      <c r="B64" s="25" t="s">
        <v>262</v>
      </c>
      <c r="C64" s="24" t="s">
        <v>265</v>
      </c>
      <c r="D64" s="23" t="s">
        <v>264</v>
      </c>
      <c r="E64" s="16"/>
    </row>
    <row r="65" spans="1:5" ht="36" customHeight="1" x14ac:dyDescent="0.3">
      <c r="A65" s="26">
        <v>59</v>
      </c>
      <c r="B65" s="25" t="s">
        <v>262</v>
      </c>
      <c r="C65" s="24" t="s">
        <v>263</v>
      </c>
      <c r="D65" s="23" t="e">
        <f>MID(B2,FIND(" ",B2)+1,LEN(B2)-FIND(" ",B2))</f>
        <v>#VALUE!</v>
      </c>
      <c r="E65" s="16"/>
    </row>
    <row r="66" spans="1:5" ht="36" customHeight="1" x14ac:dyDescent="0.3">
      <c r="A66" s="26">
        <v>60</v>
      </c>
      <c r="B66" s="25" t="s">
        <v>262</v>
      </c>
      <c r="C66" s="24" t="s">
        <v>261</v>
      </c>
      <c r="D66" s="23"/>
      <c r="E66" s="16"/>
    </row>
    <row r="67" spans="1:5" ht="22.05" customHeight="1" x14ac:dyDescent="0.3">
      <c r="A67" s="22" t="s">
        <v>260</v>
      </c>
      <c r="B67" s="21"/>
      <c r="C67" s="21"/>
      <c r="D67" s="21"/>
      <c r="E67" s="21"/>
    </row>
    <row r="68" spans="1:5" ht="36" customHeight="1" x14ac:dyDescent="0.3">
      <c r="A68" s="20">
        <v>61</v>
      </c>
      <c r="B68" s="19" t="s">
        <v>226</v>
      </c>
      <c r="C68" s="18" t="s">
        <v>259</v>
      </c>
      <c r="D68" s="17"/>
      <c r="E68" s="16"/>
    </row>
    <row r="69" spans="1:5" ht="36" customHeight="1" x14ac:dyDescent="0.3">
      <c r="A69" s="20">
        <v>62</v>
      </c>
      <c r="B69" s="19" t="s">
        <v>226</v>
      </c>
      <c r="C69" s="18" t="s">
        <v>258</v>
      </c>
      <c r="D69" s="17" t="s">
        <v>257</v>
      </c>
      <c r="E69" s="16"/>
    </row>
    <row r="70" spans="1:5" ht="36" customHeight="1" x14ac:dyDescent="0.3">
      <c r="A70" s="20">
        <v>63</v>
      </c>
      <c r="B70" s="19" t="s">
        <v>226</v>
      </c>
      <c r="C70" s="18" t="s">
        <v>256</v>
      </c>
      <c r="D70" s="17" t="s">
        <v>255</v>
      </c>
      <c r="E70" s="16"/>
    </row>
    <row r="71" spans="1:5" ht="36" customHeight="1" x14ac:dyDescent="0.3">
      <c r="A71" s="20">
        <v>64</v>
      </c>
      <c r="B71" s="19" t="s">
        <v>226</v>
      </c>
      <c r="C71" s="18" t="s">
        <v>254</v>
      </c>
      <c r="D71" s="17" t="s">
        <v>253</v>
      </c>
      <c r="E71" s="16"/>
    </row>
    <row r="72" spans="1:5" ht="36" customHeight="1" x14ac:dyDescent="0.3">
      <c r="A72" s="20">
        <v>65</v>
      </c>
      <c r="B72" s="19" t="s">
        <v>226</v>
      </c>
      <c r="C72" s="18" t="s">
        <v>252</v>
      </c>
      <c r="D72" s="17" t="s">
        <v>251</v>
      </c>
      <c r="E72" s="16"/>
    </row>
    <row r="73" spans="1:5" ht="36" customHeight="1" x14ac:dyDescent="0.3">
      <c r="A73" s="20">
        <v>66</v>
      </c>
      <c r="B73" s="19" t="s">
        <v>226</v>
      </c>
      <c r="C73" s="18" t="s">
        <v>250</v>
      </c>
      <c r="D73" s="17" t="s">
        <v>249</v>
      </c>
      <c r="E73" s="16"/>
    </row>
    <row r="74" spans="1:5" ht="36" customHeight="1" x14ac:dyDescent="0.3">
      <c r="A74" s="20">
        <v>67</v>
      </c>
      <c r="B74" s="19" t="s">
        <v>226</v>
      </c>
      <c r="C74" s="18" t="s">
        <v>248</v>
      </c>
      <c r="D74" s="17" t="e">
        <f>LARGE(J2:J151,5)</f>
        <v>#NUM!</v>
      </c>
      <c r="E74" s="16"/>
    </row>
    <row r="75" spans="1:5" ht="36" customHeight="1" x14ac:dyDescent="0.3">
      <c r="A75" s="20">
        <v>68</v>
      </c>
      <c r="B75" s="19" t="s">
        <v>226</v>
      </c>
      <c r="C75" s="18" t="s">
        <v>247</v>
      </c>
      <c r="D75" s="17" t="s">
        <v>246</v>
      </c>
      <c r="E75" s="16"/>
    </row>
    <row r="76" spans="1:5" ht="36" customHeight="1" x14ac:dyDescent="0.3">
      <c r="A76" s="20">
        <v>69</v>
      </c>
      <c r="B76" s="19" t="s">
        <v>226</v>
      </c>
      <c r="C76" s="18" t="s">
        <v>245</v>
      </c>
      <c r="D76" s="17" t="s">
        <v>244</v>
      </c>
      <c r="E76" s="16"/>
    </row>
    <row r="77" spans="1:5" ht="36" customHeight="1" x14ac:dyDescent="0.3">
      <c r="A77" s="20">
        <v>70</v>
      </c>
      <c r="B77" s="19" t="s">
        <v>226</v>
      </c>
      <c r="C77" s="18" t="s">
        <v>243</v>
      </c>
      <c r="D77" s="17" t="s">
        <v>242</v>
      </c>
      <c r="E77" s="16"/>
    </row>
    <row r="78" spans="1:5" ht="36" customHeight="1" x14ac:dyDescent="0.3">
      <c r="A78" s="20">
        <v>71</v>
      </c>
      <c r="B78" s="19" t="s">
        <v>226</v>
      </c>
      <c r="C78" s="18" t="s">
        <v>241</v>
      </c>
      <c r="D78" s="17" t="s">
        <v>240</v>
      </c>
      <c r="E78" s="16"/>
    </row>
    <row r="79" spans="1:5" ht="36" customHeight="1" x14ac:dyDescent="0.3">
      <c r="A79" s="20">
        <v>72</v>
      </c>
      <c r="B79" s="19" t="s">
        <v>226</v>
      </c>
      <c r="C79" s="18" t="s">
        <v>239</v>
      </c>
      <c r="D79" s="17" t="e">
        <f ca="1">SUM(INDIRECT(A1&amp;"!I2:I151"))</f>
        <v>#REF!</v>
      </c>
      <c r="E79" s="16"/>
    </row>
    <row r="80" spans="1:5" ht="36" customHeight="1" x14ac:dyDescent="0.3">
      <c r="A80" s="20">
        <v>73</v>
      </c>
      <c r="B80" s="19" t="s">
        <v>226</v>
      </c>
      <c r="C80" s="18" t="s">
        <v>238</v>
      </c>
      <c r="D80" s="17" t="s">
        <v>237</v>
      </c>
      <c r="E80" s="16"/>
    </row>
    <row r="81" spans="1:5" ht="36" customHeight="1" x14ac:dyDescent="0.3">
      <c r="A81" s="20">
        <v>74</v>
      </c>
      <c r="B81" s="19" t="s">
        <v>226</v>
      </c>
      <c r="C81" s="18" t="s">
        <v>236</v>
      </c>
      <c r="D81" s="17" t="e">
        <f>CHOOSE(P1, SUM(J2:J151), AVERAGE(J2:J151), COUNTA(J2:J151))</f>
        <v>#VALUE!</v>
      </c>
      <c r="E81" s="16"/>
    </row>
    <row r="82" spans="1:5" ht="36" customHeight="1" x14ac:dyDescent="0.3">
      <c r="A82" s="20">
        <v>75</v>
      </c>
      <c r="B82" s="19" t="s">
        <v>226</v>
      </c>
      <c r="C82" s="18" t="s">
        <v>235</v>
      </c>
      <c r="D82" s="17"/>
      <c r="E82" s="16"/>
    </row>
    <row r="83" spans="1:5" ht="36" customHeight="1" x14ac:dyDescent="0.3">
      <c r="A83" s="20">
        <v>76</v>
      </c>
      <c r="B83" s="19" t="s">
        <v>226</v>
      </c>
      <c r="C83" s="18" t="s">
        <v>234</v>
      </c>
      <c r="D83" s="17" t="s">
        <v>233</v>
      </c>
      <c r="E83" s="16"/>
    </row>
    <row r="84" spans="1:5" ht="36" customHeight="1" x14ac:dyDescent="0.3">
      <c r="A84" s="20">
        <v>77</v>
      </c>
      <c r="B84" s="19" t="s">
        <v>226</v>
      </c>
      <c r="C84" s="18" t="s">
        <v>232</v>
      </c>
      <c r="D84" s="17" t="s">
        <v>231</v>
      </c>
      <c r="E84" s="16"/>
    </row>
    <row r="85" spans="1:5" ht="36" customHeight="1" x14ac:dyDescent="0.3">
      <c r="A85" s="20">
        <v>78</v>
      </c>
      <c r="B85" s="19" t="s">
        <v>226</v>
      </c>
      <c r="C85" s="18" t="s">
        <v>230</v>
      </c>
      <c r="D85" s="17" t="s">
        <v>229</v>
      </c>
      <c r="E85" s="16"/>
    </row>
    <row r="86" spans="1:5" ht="36" customHeight="1" x14ac:dyDescent="0.3">
      <c r="A86" s="20">
        <v>79</v>
      </c>
      <c r="B86" s="19" t="s">
        <v>226</v>
      </c>
      <c r="C86" s="18" t="s">
        <v>228</v>
      </c>
      <c r="D86" s="17" t="s">
        <v>227</v>
      </c>
      <c r="E86" s="16"/>
    </row>
    <row r="87" spans="1:5" ht="36" customHeight="1" x14ac:dyDescent="0.3">
      <c r="A87" s="20">
        <v>80</v>
      </c>
      <c r="B87" s="19" t="s">
        <v>226</v>
      </c>
      <c r="C87" s="18" t="s">
        <v>225</v>
      </c>
      <c r="D87" s="17" t="s">
        <v>224</v>
      </c>
      <c r="E87" s="16"/>
    </row>
  </sheetData>
  <mergeCells count="6">
    <mergeCell ref="A67:E67"/>
    <mergeCell ref="A4:E4"/>
    <mergeCell ref="A2:E2"/>
    <mergeCell ref="A25:E25"/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DB2_MutualFunds</vt:lpstr>
      <vt:lpstr>Q2_MutualFunds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SINGH</dc:creator>
  <cp:lastModifiedBy>SUNNY SINGH</cp:lastModifiedBy>
  <dcterms:created xsi:type="dcterms:W3CDTF">2026-07-08T01:48:22Z</dcterms:created>
  <dcterms:modified xsi:type="dcterms:W3CDTF">2026-07-08T01:49:24Z</dcterms:modified>
</cp:coreProperties>
</file>