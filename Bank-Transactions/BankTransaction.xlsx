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417bddbf6525868/Desktop/excel delta/practice/"/>
    </mc:Choice>
  </mc:AlternateContent>
  <xr:revisionPtr revIDLastSave="0" documentId="8_{2309D30D-650C-44E2-87CC-8266E3346C10}" xr6:coauthVersionLast="47" xr6:coauthVersionMax="47" xr10:uidLastSave="{00000000-0000-0000-0000-000000000000}"/>
  <bookViews>
    <workbookView xWindow="-108" yWindow="-108" windowWidth="23256" windowHeight="12456" xr2:uid="{2642A9CE-3995-4EF3-87FE-72DC001A4E1B}"/>
  </bookViews>
  <sheets>
    <sheet name="Q1_BankTransactions" sheetId="3" r:id="rId1"/>
    <sheet name="DB1_BankTransactions" sheetId="1" r:id="rId2"/>
    <sheet name="Sheet2" sheetId="2" r:id="rId3"/>
  </sheets>
  <definedNames>
    <definedName name="_xlnm._FilterDatabase" localSheetId="1" hidden="1">DB1_BankTransactions!$A$1:$M$73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6" i="3"/>
  <c r="E27" i="3"/>
  <c r="E28" i="3"/>
  <c r="E29" i="3"/>
  <c r="E30" i="3"/>
  <c r="E31" i="3"/>
  <c r="E32" i="3"/>
  <c r="E34" i="3"/>
  <c r="E35" i="3"/>
  <c r="E36" i="3"/>
  <c r="E38" i="3"/>
  <c r="E41" i="3" a="1"/>
  <c r="E41" i="3" s="1"/>
  <c r="E42" i="3"/>
  <c r="E43" i="3"/>
  <c r="E44" i="3"/>
  <c r="E47" i="3"/>
  <c r="D75" i="3"/>
  <c r="D81" i="3"/>
  <c r="D82" i="3"/>
  <c r="R55" i="1"/>
  <c r="M72" i="1"/>
  <c r="M7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<sst xmlns="http://schemas.openxmlformats.org/spreadsheetml/2006/main" count="895" uniqueCount="337">
  <si>
    <t>No</t>
  </si>
  <si>
    <t>Priya Sharma</t>
  </si>
  <si>
    <t>BKC</t>
  </si>
  <si>
    <t>Credit</t>
  </si>
  <si>
    <t>Savings</t>
  </si>
  <si>
    <t>Mumbai</t>
  </si>
  <si>
    <t>Kartik Mehta</t>
  </si>
  <si>
    <t>CUST1021</t>
  </si>
  <si>
    <t>TXN10070</t>
  </si>
  <si>
    <t>yes</t>
  </si>
  <si>
    <t>Deepa Rao</t>
  </si>
  <si>
    <t>Borivali</t>
  </si>
  <si>
    <t>Interest</t>
  </si>
  <si>
    <t>NRI</t>
  </si>
  <si>
    <t>Kolkata</t>
  </si>
  <si>
    <t>Ananya Reddy</t>
  </si>
  <si>
    <t>CUST1020</t>
  </si>
  <si>
    <t>TXN10069</t>
  </si>
  <si>
    <t>Amit Patel</t>
  </si>
  <si>
    <t>Kurla</t>
  </si>
  <si>
    <t>EMI</t>
  </si>
  <si>
    <t>Recurring Deposit</t>
  </si>
  <si>
    <t>Hyderabad</t>
  </si>
  <si>
    <t>Sanjay Patel</t>
  </si>
  <si>
    <t>CUST1019</t>
  </si>
  <si>
    <t>TXN10068</t>
  </si>
  <si>
    <t>Yes</t>
  </si>
  <si>
    <t>Kavita Joshi</t>
  </si>
  <si>
    <t>Dadar</t>
  </si>
  <si>
    <t>Transfer</t>
  </si>
  <si>
    <t>Fixed Deposit</t>
  </si>
  <si>
    <t>Chennai</t>
  </si>
  <si>
    <t>Priyanka Das</t>
  </si>
  <si>
    <t>CUST1018</t>
  </si>
  <si>
    <t>TXN10067</t>
  </si>
  <si>
    <t>Suresh Nair</t>
  </si>
  <si>
    <t>Thane</t>
  </si>
  <si>
    <t>Debit</t>
  </si>
  <si>
    <t>Current</t>
  </si>
  <si>
    <t>Bangalore</t>
  </si>
  <si>
    <t>Vivek Kumar</t>
  </si>
  <si>
    <t>CUST1017</t>
  </si>
  <si>
    <t>TXN10066</t>
  </si>
  <si>
    <t>Anjali Mehta</t>
  </si>
  <si>
    <t>Powai</t>
  </si>
  <si>
    <t>Pune</t>
  </si>
  <si>
    <t>Meera Nair</t>
  </si>
  <si>
    <t>CUST1016</t>
  </si>
  <si>
    <t>TXN10065</t>
  </si>
  <si>
    <t>Rahul Verma</t>
  </si>
  <si>
    <t>Andheri</t>
  </si>
  <si>
    <t>Delhi</t>
  </si>
  <si>
    <t>Nikhil Jain</t>
  </si>
  <si>
    <t>CUST1015</t>
  </si>
  <si>
    <t>TXN10064</t>
  </si>
  <si>
    <t>Pooja Shah</t>
  </si>
  <si>
    <t>CUST1014</t>
  </si>
  <si>
    <t>TXN10063</t>
  </si>
  <si>
    <t>Arjun Singh</t>
  </si>
  <si>
    <t>CUST1013</t>
  </si>
  <si>
    <t>TXN10062</t>
  </si>
  <si>
    <t>Sneha Iyer</t>
  </si>
  <si>
    <t>CUST1012</t>
  </si>
  <si>
    <t>TXN10061</t>
  </si>
  <si>
    <t>Rohan Gupta</t>
  </si>
  <si>
    <t>CUST1011</t>
  </si>
  <si>
    <t>TXN10060</t>
  </si>
  <si>
    <t>Tanvi Mishra</t>
  </si>
  <si>
    <t>CUST1010</t>
  </si>
  <si>
    <t>TXN10059</t>
  </si>
  <si>
    <t>Mohit Goel</t>
  </si>
  <si>
    <t>CUST1009</t>
  </si>
  <si>
    <t>TXN10058</t>
  </si>
  <si>
    <t>Swati Desai</t>
  </si>
  <si>
    <t>CUST1008</t>
  </si>
  <si>
    <t>TXN10057</t>
  </si>
  <si>
    <t>Harish Pillai</t>
  </si>
  <si>
    <t>CUST1007</t>
  </si>
  <si>
    <t>TXN10056</t>
  </si>
  <si>
    <t>Nandita Bose</t>
  </si>
  <si>
    <t>CUST1006</t>
  </si>
  <si>
    <t>TXN10055</t>
  </si>
  <si>
    <t>Rajesh Kapoor</t>
  </si>
  <si>
    <t>CUST1005</t>
  </si>
  <si>
    <t>TXN10054</t>
  </si>
  <si>
    <t>Sunita Verma</t>
  </si>
  <si>
    <t>CUST1004</t>
  </si>
  <si>
    <t>TXN10053</t>
  </si>
  <si>
    <t>Arun Sharma</t>
  </si>
  <si>
    <t>CUST1003</t>
  </si>
  <si>
    <t>TXN10052</t>
  </si>
  <si>
    <t>Divya Rao</t>
  </si>
  <si>
    <t>CUST1002</t>
  </si>
  <si>
    <t>TXN10051</t>
  </si>
  <si>
    <t>CUST1001</t>
  </si>
  <si>
    <t>TXN10050</t>
  </si>
  <si>
    <t>CUST1025</t>
  </si>
  <si>
    <t>TXN10049</t>
  </si>
  <si>
    <t>CUST1024</t>
  </si>
  <si>
    <t>TXN10048</t>
  </si>
  <si>
    <t>CUST1023</t>
  </si>
  <si>
    <t>TXN10047</t>
  </si>
  <si>
    <t>CUST1022</t>
  </si>
  <si>
    <t>TXN10046</t>
  </si>
  <si>
    <t>TXN10045</t>
  </si>
  <si>
    <t>TXN10044</t>
  </si>
  <si>
    <t>TXN10043</t>
  </si>
  <si>
    <t>TXN10042</t>
  </si>
  <si>
    <t>TXN10041</t>
  </si>
  <si>
    <t>TXN10040</t>
  </si>
  <si>
    <t>TXN10039</t>
  </si>
  <si>
    <t>TXN10038</t>
  </si>
  <si>
    <t>TXN10037</t>
  </si>
  <si>
    <t>TXN10036</t>
  </si>
  <si>
    <t>TXN10035</t>
  </si>
  <si>
    <t>TXN10034</t>
  </si>
  <si>
    <t>TXN10033</t>
  </si>
  <si>
    <t>TXN10032</t>
  </si>
  <si>
    <t>TXN10031</t>
  </si>
  <si>
    <t>TXN10030</t>
  </si>
  <si>
    <t>TXN10029</t>
  </si>
  <si>
    <t>TXN10028</t>
  </si>
  <si>
    <t>TXN10027</t>
  </si>
  <si>
    <t>TXN10026</t>
  </si>
  <si>
    <t>TXN10025</t>
  </si>
  <si>
    <t>TXN10024</t>
  </si>
  <si>
    <t>TXN10023</t>
  </si>
  <si>
    <t>TXN10022</t>
  </si>
  <si>
    <t>TXN10021</t>
  </si>
  <si>
    <t>TXN10020</t>
  </si>
  <si>
    <t>TXN10019</t>
  </si>
  <si>
    <t>TXN10018</t>
  </si>
  <si>
    <t>TXN10017</t>
  </si>
  <si>
    <t>TXN10016</t>
  </si>
  <si>
    <t>TXN10015</t>
  </si>
  <si>
    <t>TXN10014</t>
  </si>
  <si>
    <t>TXN10013</t>
  </si>
  <si>
    <t>TXN10012</t>
  </si>
  <si>
    <t>TXN10011</t>
  </si>
  <si>
    <t>TXN10010</t>
  </si>
  <si>
    <t>TXN10009</t>
  </si>
  <si>
    <t>TXN10008</t>
  </si>
  <si>
    <t>TXN10007</t>
  </si>
  <si>
    <t>TXN10006</t>
  </si>
  <si>
    <t>TXN10005</t>
  </si>
  <si>
    <t>TXN10004</t>
  </si>
  <si>
    <t>TXN10003</t>
  </si>
  <si>
    <t>TXN10002</t>
  </si>
  <si>
    <t>TXN10001</t>
  </si>
  <si>
    <t>Is_Premium</t>
  </si>
  <si>
    <t>Credit_Score</t>
  </si>
  <si>
    <t>Relationship_Manager</t>
  </si>
  <si>
    <t>Branch</t>
  </si>
  <si>
    <t>TxnDate</t>
  </si>
  <si>
    <t>Balance_After</t>
  </si>
  <si>
    <t>Amount</t>
  </si>
  <si>
    <t>Transaction_Type</t>
  </si>
  <si>
    <t>Account_Type</t>
  </si>
  <si>
    <t>City</t>
  </si>
  <si>
    <t>CustomerName</t>
  </si>
  <si>
    <t>CustomerID</t>
  </si>
  <si>
    <t>TxnID</t>
  </si>
  <si>
    <t>8 labeled cells using COUNTA, SUM, AVERAGE, MAX, MIN, COUNTIF/COUNTA ratio</t>
  </si>
  <si>
    <t>Build a complete mini-report in a new area: Total transactions, Total amount, Avg amount, Max, Min, Premium %, all labeled.</t>
  </si>
  <si>
    <t>Hard</t>
  </si>
  <si>
    <t>Insert Column Chart → Add Credit_Score series → Format series → Secondary Axis</t>
  </si>
  <si>
    <t>Create a chart with dual axes: Bar for Amount (left axis), Line for Credit_Score (right axis).</t>
  </si>
  <si>
    <t>Complex: Use COUNTIF for each type → LARGE on counts → INDEX-MATCH back to type</t>
  </si>
  <si>
    <t>Build formula to show the 2nd most common Transaction_Type.</t>
  </si>
  <si>
    <t>Use: =MATCH("TXN10025",A2:A71,0) — returns relative row position</t>
  </si>
  <si>
    <t>Use MATCH to find the row number of TxnID 'TXN10025' in column A.</t>
  </si>
  <si>
    <t>Right-click DB1_BankTransactions tab → Protect Sheet → set password</t>
  </si>
  <si>
    <t>Protect the database sheet with a password so data can't be edited, but questions sheet stays editable.</t>
  </si>
  <si>
    <t>Use CHOOSE() with a number in P1 (1=Credit, 2=Debit, 3=Transfer) to show SUMIF for that type.</t>
  </si>
  <si>
    <t>Identify all rows where Balance_After &lt; Amount (meaning the transaction caused near-overdraft).</t>
  </si>
  <si>
    <t>If P1='G', use: =SUM(INDIRECT("G2:G71"))</t>
  </si>
  <si>
    <t>Use INDIRECT() to reference the Amount column dynamically based on a column letter typed in a cell.</t>
  </si>
  <si>
    <t>Formulas → Name Manager → New → =DB1_BankTransactions!$G$2:$G$71 → use name in SUM</t>
  </si>
  <si>
    <t>Create a DYNAMIC named range for Amount column, then use it in formulas.</t>
  </si>
  <si>
    <t>In new column: =SUM(G$2:G2) — drag down to get cumulative sum</t>
  </si>
  <si>
    <t>Build a running total column for Amount using absolute+relative references.</t>
  </si>
  <si>
    <t>For each branch: =SUMIF(J$2:J$71,J2,G$2:G$71)/SUM(G$2:G$71) → format as %</t>
  </si>
  <si>
    <t>Find the % contribution of each Branch to the total Amount, formatted as percentage.</t>
  </si>
  <si>
    <t>Select a cell → Insert → Sparklines → Line → Data Range: G2:G11</t>
  </si>
  <si>
    <t>Create a sparkline (mini-chart) for the first 10 transactions' amounts in a single cell.</t>
  </si>
  <si>
    <t>Simulate an interest calculation: for each 'Fixed Deposit' row, calculate Amount × 7.5% / 365 × 30 (monthly interest).</t>
  </si>
  <si>
    <t>Use XLOOKUP with match_mode=-1 to find nearest Credit Score below 700.</t>
  </si>
  <si>
    <t>PivotTable: Transaction_Type in Rows, City in Columns, Amount SUM in Values</t>
  </si>
  <si>
    <t>Create a two-variable summary: rows = Transaction_Type, columns = City, values = total Amount.</t>
  </si>
  <si>
    <t>Select B2:B71 → CF → Highlight Cell Rules → Duplicate Values</t>
  </si>
  <si>
    <t>Identify and highlight duplicate CustomerIDs using Conditional Formatting.</t>
  </si>
  <si>
    <t>Use: =SUMPRODUCT(L2:L71,G2:G71)/SUM(G2:G71)</t>
  </si>
  <si>
    <t>Create a weighted average Credit Score, weighted by Amount transacted.</t>
  </si>
  <si>
    <t>COUNTIF per customer, then INDEX-MATCH on MAX — or PivotTable approach</t>
  </si>
  <si>
    <t>Find the CustomerName who made the MOST number of transactions.</t>
  </si>
  <si>
    <t>Use: =LARGE(G2:G71,1), =LARGE(G2:G71,2), =LARGE(G2:G71,3)</t>
  </si>
  <si>
    <t>Create a formula that returns the TOP 3 transaction amounts using LARGE().</t>
  </si>
  <si>
    <t>Use: =SUMIF(J2:J71,P1,G2:G71) — change P1 to any branch name</t>
  </si>
  <si>
    <t>Build a dynamic dashboard cell: show total Amount for whichever Branch name you type in a reference cell (say P1).</t>
  </si>
  <si>
    <t xml:space="preserve">  ▶  HARD QUESTIONS</t>
  </si>
  <si>
    <t>Use: =DATEDIF(I2,TODAY(),"d")  — drag down</t>
  </si>
  <si>
    <t>Use DATEDIF to calculate how many days ago each transaction occurred from today.</t>
  </si>
  <si>
    <t>Intermediate</t>
  </si>
  <si>
    <t>Use: =LEFT(C2,FIND(" ",C2)-1)</t>
  </si>
  <si>
    <t>Build formula: extract First Name from CustomerName using LEFT and FIND.</t>
  </si>
  <si>
    <t>Use: =FIND(" ",C2) — returns position of first space</t>
  </si>
  <si>
    <t>Use FIND() to locate the position of space in CustomerName (C2).</t>
  </si>
  <si>
    <t>Select E column → Data → Data Validation → List → Savings,Current,FD,RD,NRI</t>
  </si>
  <si>
    <t>Apply Data Validation on Account_Type column: dropdown allowing only 5 valid types.</t>
  </si>
  <si>
    <t>Select data → Insert → PivotTable → Branch in Rows, Amount and TxnID in Values</t>
  </si>
  <si>
    <t>Create a Pivot Table showing: rows=Branch, values=SUM of Amount, COUNT of TxnID.</t>
  </si>
  <si>
    <t>Create tier table: 0=0.5%, 50000=1%, 100000=1.5% — then VLOOKUP(G2,tier,2,TRUE)</t>
  </si>
  <si>
    <t>Use VLOOKUP with approximate match (TRUE) to assign fee tier based on Amount ranges.</t>
  </si>
  <si>
    <t>Create RM summary with SUMIF per RM, then use MAX and INDEX-MATCH</t>
  </si>
  <si>
    <t>Find which Relationship_Manager has the highest total Amount under their name.</t>
  </si>
  <si>
    <t>Use: =SUMIFS(G2:G71,I2:I71,"&gt;="&amp;DATE(2024,1,1),I2:I71,"&lt;"&amp;DATE(2024,2,1))</t>
  </si>
  <si>
    <t>Use SUMIFS with date criteria: sum Amount for Jan 2024 transactions only.</t>
  </si>
  <si>
    <t>Select L2:L71 → Conditional Formatting → Color Scales → Red-Yellow-Green</t>
  </si>
  <si>
    <t>Create a conditional formatting color scale on Credit_Score (green=high, red=low).</t>
  </si>
  <si>
    <t>Use: =COUNTIFS(G2:G71,"&gt;50000",J2:J71,"BKC")</t>
  </si>
  <si>
    <t>Use COUNTIFS to count transactions where Amount&gt;50000 AND Branch='BKC'.</t>
  </si>
  <si>
    <t>Apply a filter first, then: =SUBTOTAL(9,G2:G71)</t>
  </si>
  <si>
    <t>Use SUBTOTAL(9,...) to sum Amount only for visible (filtered) rows.</t>
  </si>
  <si>
    <t>Data → Sort → Add Level → City A-Z, then Amount Largest to Smallest</t>
  </si>
  <si>
    <t>Use Advanced Sort: sort first by City (A-Z), then by Amount (largest to smallest).</t>
  </si>
  <si>
    <t>Click cell C2 → View → Freeze Panes → Freeze Panes</t>
  </si>
  <si>
    <t>Freeze the top header row AND the first two columns simultaneously.</t>
  </si>
  <si>
    <t>Copy column C to new area → Data → Text to Columns → Delimited → Space</t>
  </si>
  <si>
    <t>Use Text to Columns to split CustomerName (First Last) into two columns.</t>
  </si>
  <si>
    <t>Copy CustomerID to new column → Data → Remove Duplicates → then COUNTA</t>
  </si>
  <si>
    <t>Remove duplicates from CustomerID column and count how many unique customers exist.</t>
  </si>
  <si>
    <t>Use: =INDEX(C2:C71,MATCH(MAX(L2:L71),L2:L71,0))</t>
  </si>
  <si>
    <t>Use INDEX-MATCH to find the CustomerName where Credit_Score is the highest.</t>
  </si>
  <si>
    <t>First create summary table, then Insert → Bar/Column Chart → select summary data</t>
  </si>
  <si>
    <t>Build a chart: Bar chart showing total Amount by Transaction_Type. Label axes properly.</t>
  </si>
  <si>
    <t>Create a small table: Credit/Debit/Transfer/EMI/Interest vs =SUMIF(F$2:F$71,P2,G$2:G$71)</t>
  </si>
  <si>
    <t>Create a dynamic summary: total Amount per Transaction_Type using SUMIF for all 5 types.</t>
  </si>
  <si>
    <t>Hint: Transpose headers to row 1 of a helper area; =HLOOKUP("Current",range,2,0)</t>
  </si>
  <si>
    <t>Use HLOOKUP if you transpose Account_Type to a row — find 'Current' column index.</t>
  </si>
  <si>
    <t>Use: =IF(L2&lt;650,"Poor",IF(L2&lt;750,"Average","Excellent"))  — drag down</t>
  </si>
  <si>
    <t>Create a nested IF to classify Credit Score: &lt;650='Poor', 650-749='Average', ≥750='Excellent'.</t>
  </si>
  <si>
    <t xml:space="preserve">  ▶  INTERMEDIATE QUESTIONS</t>
  </si>
  <si>
    <t xml:space="preserve">done actually secomd column id not there </t>
  </si>
  <si>
    <t>Use: =NETWORKDAYS(I2,I3) for working days between two txn dates</t>
  </si>
  <si>
    <t>Use NETWORKDAYS to count working days between two dates in column I.</t>
  </si>
  <si>
    <t>Medium</t>
  </si>
  <si>
    <t>Use: =MID(A2,4,4)</t>
  </si>
  <si>
    <t>Use MID() to extract characters 4 to 7 from TxnID in A2.</t>
  </si>
  <si>
    <t>Use: =RIGHT(A2,5)</t>
  </si>
  <si>
    <t>Use RIGHT() to extract last 5 characters from TxnID in A2.</t>
  </si>
  <si>
    <t>Use: =MAXIFS(H2:H71,L2:L71,"&gt;750")</t>
  </si>
  <si>
    <t>Find MAX Balance_After for customers with Credit_Score &gt; 750.</t>
  </si>
  <si>
    <t>Use: =SUMPRODUCT(G2:G71*0.02)</t>
  </si>
  <si>
    <t>Use SUMPRODUCT to multiply Amount × 0.02 and sum the results (simulating 2% fee).</t>
  </si>
  <si>
    <t>sorted</t>
  </si>
  <si>
    <t>Data → Filter → Click Branch dropdown → Select Powai</t>
  </si>
  <si>
    <t>Filter the dataset to show only rows where Branch = 'Powai'.</t>
  </si>
  <si>
    <t>Data → Sort → Column G → Largest to Smallest</t>
  </si>
  <si>
    <t>Sort the entire table by Amount (largest to smallest) using Data → Sort.</t>
  </si>
  <si>
    <t>Use: =XLOOKUP("TXN10010",A2:A71,K2:K71,"Not Found")</t>
  </si>
  <si>
    <t>Use XLOOKUP to find the Relationship_Manager for TxnID 'TXN10010'.</t>
  </si>
  <si>
    <t>done</t>
  </si>
  <si>
    <t>Home → Conditional Formatting → New Rule → Format cells where value &gt; 100000</t>
  </si>
  <si>
    <t>Apply Conditional Formatting on the Amount column: highlight red if Amount &gt; 100000.</t>
  </si>
  <si>
    <t>Use: =RANK(G2,G$2:G$71,0)  — drag down</t>
  </si>
  <si>
    <t>Find the RANK of Amount in G2 among all amounts (largest = rank 1).</t>
  </si>
  <si>
    <t>Use: =SUMPRODUCT(1/COUNTIF(D2:D71,D2:D71))</t>
  </si>
  <si>
    <t>Count distinct cities — use SUMPRODUCT+COUNTIF formula.</t>
  </si>
  <si>
    <t>Use: =IFERROR(VLOOKUP("TXN99999",A2:J71,2,0),"Not Found")</t>
  </si>
  <si>
    <t>Use IFERROR to wrap a VLOOKUP for 'TXN99999' (which doesn't exist) and show 'Not Found'.</t>
  </si>
  <si>
    <t>wrong question</t>
  </si>
  <si>
    <t>Use: =TEXT(I2,"DD/MM/YYYY")</t>
  </si>
  <si>
    <t>Use TEXT() to format the TxnDate in B column as 'DD/MM/YYYY'.</t>
  </si>
  <si>
    <t>Use: =C2&amp;" - "&amp;D2  or =CONCATENATE(C2," - ",D2)</t>
  </si>
  <si>
    <t>Use CONCATENATE (or &amp;) to combine CustomerName and City with ' - ' between them.</t>
  </si>
  <si>
    <t>Use: =AVERAGEIFS(G2:G71,D2:D71,"Mumbai",F2:F71,"Credit")</t>
  </si>
  <si>
    <t>Use AVERAGEIFS to find average Amount for 'Mumbai' city AND 'Credit' transaction.</t>
  </si>
  <si>
    <t>Use: =AVERAGEIF(E2:E71,"Savings",G2:G71)</t>
  </si>
  <si>
    <t>Use AVERAGEIF to find average Amount for 'Savings' account type.</t>
  </si>
  <si>
    <t>Use: =IF(G2&gt;50000,"High Value","Normal")  — drag down</t>
  </si>
  <si>
    <t>Use IF() to label each transaction: if Amount&gt;50000 show 'High Value', else 'Normal'.</t>
  </si>
  <si>
    <t>Hint: =VLOOKUP("TXN10005",A2:J71,10,0)</t>
  </si>
  <si>
    <t>Use VLOOKUP to find the Branch of TxnID 'TXN10005'. (Create a lookup table on the side.)</t>
  </si>
  <si>
    <t>Use: =COUNTIFS(M2:M71,"Yes",F2:F71,"Debit")</t>
  </si>
  <si>
    <t>Count how many 'Premium' customers ('Yes') did a 'Debit' transaction.</t>
  </si>
  <si>
    <t>Use: =SUMIFS(G2:G71, D2:D71,"Mumbai", F2:F71,"Credit")</t>
  </si>
  <si>
    <t>Find the total Amount for transactions where City = 'Mumbai' AND Transaction_Type = 'Credit'.</t>
  </si>
  <si>
    <t xml:space="preserve">  ▶  MEDIUM QUESTIONS</t>
  </si>
  <si>
    <t>Use: =TODAY()</t>
  </si>
  <si>
    <t>Use TODAY() to display today's date.</t>
  </si>
  <si>
    <t>Basic</t>
  </si>
  <si>
    <t>Use: =TRIM(C2)</t>
  </si>
  <si>
    <t>Use TRIM() to clean any extra spaces from C2.</t>
  </si>
  <si>
    <t>Use: =LOWER(D2)</t>
  </si>
  <si>
    <t>Use LOWER() to convert the city in D2 to lowercase.</t>
  </si>
  <si>
    <t>Use: =UPPER(J2)</t>
  </si>
  <si>
    <t>Use UPPER() to convert the Branch name in J2 to uppercase.</t>
  </si>
  <si>
    <t>Use: =LEN(C2)</t>
  </si>
  <si>
    <t>Use LEN() to find the length of CustomerName in C2.</t>
  </si>
  <si>
    <t>Use: =LEFT(A2,4)</t>
  </si>
  <si>
    <t>Use LEFT() to extract first 4 characters of TxnID from A2.</t>
  </si>
  <si>
    <t>Use: =SUMIF(E2:E71,"Current",H2:H71)</t>
  </si>
  <si>
    <t>What is the sum of Balance_After for all 'Current' account holders?</t>
  </si>
  <si>
    <t>Use: =MAXIFS(G2:G71,F2:F71,"Debit")</t>
  </si>
  <si>
    <t>Find the MAX Amount for 'Debit' transaction type.</t>
  </si>
  <si>
    <t>Use: =COUNTIF(J2:J71,"BKC")</t>
  </si>
  <si>
    <t>Count how many transactions happened in the 'BKC' branch.</t>
  </si>
  <si>
    <t>Use: =AVERAGE(L2:L71)</t>
  </si>
  <si>
    <t>What is the AVERAGE Credit Score?</t>
  </si>
  <si>
    <t>Use: =COUNTIF(M2:M71,"Yes")</t>
  </si>
  <si>
    <t>How many customers are marked as Premium = 'Yes'?</t>
  </si>
  <si>
    <t>Use: =SUMIF(E2:E71,"Savings",G2:G71)</t>
  </si>
  <si>
    <t>What is the sum of all transactions in the 'Savings' account type?</t>
  </si>
  <si>
    <t>Use: =COUNTA(J2:J71)</t>
  </si>
  <si>
    <t>Use COUNTA to count how many Branch entries are filled.</t>
  </si>
  <si>
    <t>Use: =C6  (row 5 of data is row 6 in sheet)</t>
  </si>
  <si>
    <t>Display the CustomerName from row 5 using a direct cell reference.</t>
  </si>
  <si>
    <t>Use: =COUNTIF(F2:F71,"Credit")</t>
  </si>
  <si>
    <t>Find how many transactions have Transaction_Type = 'Credit'.</t>
  </si>
  <si>
    <t>Use: =AVERAGE(G2:G71)</t>
  </si>
  <si>
    <t>What is the Average transaction Amount?</t>
  </si>
  <si>
    <t>Use: =MIN(H2:H71)</t>
  </si>
  <si>
    <t>What is the lowest (MIN) Balance_After across all rows?</t>
  </si>
  <si>
    <t>Use: =MAX(L2:L71)</t>
  </si>
  <si>
    <t>What is the highest (MAX) Credit Score in the dataset?</t>
  </si>
  <si>
    <t>Use: =SUM(G2:G71)</t>
  </si>
  <si>
    <t>Find the total Amount of all transactions using SUM.</t>
  </si>
  <si>
    <t>Use: =COUNTA(A2:A71)</t>
  </si>
  <si>
    <t>Count the total number of transactions in this dataset.</t>
  </si>
  <si>
    <t xml:space="preserve">  ▶  BASIC QUESTIONS</t>
  </si>
  <si>
    <t>Your Answer (type formula here)</t>
  </si>
  <si>
    <t>Hint / Formula Guide</t>
  </si>
  <si>
    <t>Question</t>
  </si>
  <si>
    <t>Level</t>
  </si>
  <si>
    <t>#</t>
  </si>
  <si>
    <t>🟢 Basic = Green   🟡 Medium = Yellow   🟠 Intermediate = Orange   🔴 Hard = Red   |   Write your formula in Column E (Your Answer)</t>
  </si>
  <si>
    <t>📝 Practice Questions — DB1_BankTransactions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</si>
</sst>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  <font>
      <i/>
      <sz val="9"/>
      <color rgb="FF595959"/>
      <name val="Calibri"/>
    </font>
    <font>
      <b/>
      <sz val="10"/>
      <color rgb="FF000000"/>
      <name val="Calibri"/>
    </font>
    <font>
      <b/>
      <sz val="10"/>
      <name val="Calibri"/>
    </font>
    <font>
      <i/>
      <sz val="9"/>
      <color rgb="FF444444"/>
      <name val="Calibri"/>
    </font>
    <font>
      <b/>
      <sz val="14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F4CCCC"/>
      </patternFill>
    </fill>
    <fill>
      <patternFill patternType="solid">
        <fgColor rgb="FF632523"/>
      </patternFill>
    </fill>
    <fill>
      <patternFill patternType="solid">
        <fgColor rgb="FFFCE4D6"/>
      </patternFill>
    </fill>
    <fill>
      <patternFill patternType="solid">
        <fgColor rgb="FF843C0C"/>
      </patternFill>
    </fill>
    <fill>
      <patternFill patternType="solid">
        <fgColor rgb="FFFFF2CC"/>
      </patternFill>
    </fill>
    <fill>
      <patternFill patternType="solid">
        <fgColor rgb="FF7D4E1D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9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0" fillId="2" borderId="2" xfId="0" applyFill="1" applyBorder="1"/>
    <xf numFmtId="0" fontId="3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0" borderId="0" xfId="0"/>
    <xf numFmtId="0" fontId="2" fillId="6" borderId="0" xfId="0" applyFont="1" applyFill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2" fillId="8" borderId="0" xfId="0" applyFont="1" applyFill="1" applyAlignment="1">
      <alignment vertical="center"/>
    </xf>
    <xf numFmtId="0" fontId="0" fillId="2" borderId="2" xfId="0" applyFill="1" applyBorder="1" applyAlignment="1">
      <alignment horizontal="center" wrapText="1"/>
    </xf>
    <xf numFmtId="0" fontId="3" fillId="9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2" fillId="10" borderId="0" xfId="0" applyFont="1" applyFill="1" applyAlignment="1">
      <alignment vertical="center"/>
    </xf>
    <xf numFmtId="14" fontId="0" fillId="2" borderId="2" xfId="0" applyNumberFormat="1" applyFill="1" applyBorder="1"/>
    <xf numFmtId="0" fontId="3" fillId="11" borderId="2" xfId="0" applyFont="1" applyFill="1" applyBorder="1" applyAlignment="1">
      <alignment horizontal="left" vertical="center" wrapText="1"/>
    </xf>
    <xf numFmtId="0" fontId="1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4" fontId="0" fillId="2" borderId="2" xfId="0" applyNumberFormat="1" applyFill="1" applyBorder="1"/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CA31-988E-4EC1-915D-74D0535318FC}">
  <dimension ref="A1:E87"/>
  <sheetViews>
    <sheetView tabSelected="1" zoomScale="113" workbookViewId="0">
      <selection activeCell="E45" sqref="E45"/>
    </sheetView>
  </sheetViews>
  <sheetFormatPr defaultRowHeight="14.4" x14ac:dyDescent="0.3"/>
  <cols>
    <col min="1" max="1" width="5" customWidth="1"/>
    <col min="2" max="2" width="12" customWidth="1"/>
    <col min="3" max="3" width="55" customWidth="1"/>
    <col min="4" max="4" width="22.5546875" hidden="1" customWidth="1"/>
    <col min="5" max="5" width="30" customWidth="1"/>
  </cols>
  <sheetData>
    <row r="1" spans="1:5" ht="31.95" customHeight="1" x14ac:dyDescent="0.3">
      <c r="A1" s="38" t="s">
        <v>336</v>
      </c>
      <c r="B1" s="16"/>
      <c r="C1" s="16"/>
      <c r="D1" s="16"/>
      <c r="E1" s="16"/>
    </row>
    <row r="2" spans="1:5" ht="16.05" customHeight="1" x14ac:dyDescent="0.3">
      <c r="A2" s="37" t="s">
        <v>335</v>
      </c>
      <c r="B2" s="16"/>
      <c r="C2" s="16"/>
      <c r="D2" s="16"/>
      <c r="E2" s="16"/>
    </row>
    <row r="3" spans="1:5" ht="22.05" customHeight="1" x14ac:dyDescent="0.3">
      <c r="A3" s="36" t="s">
        <v>334</v>
      </c>
      <c r="B3" s="36" t="s">
        <v>333</v>
      </c>
      <c r="C3" s="36" t="s">
        <v>332</v>
      </c>
      <c r="D3" s="36" t="s">
        <v>331</v>
      </c>
      <c r="E3" s="36" t="s">
        <v>330</v>
      </c>
    </row>
    <row r="4" spans="1:5" ht="22.05" customHeight="1" x14ac:dyDescent="0.3">
      <c r="A4" s="35" t="s">
        <v>329</v>
      </c>
      <c r="B4" s="16"/>
      <c r="C4" s="16"/>
      <c r="D4" s="16"/>
      <c r="E4" s="16"/>
    </row>
    <row r="5" spans="1:5" ht="36" customHeight="1" x14ac:dyDescent="0.3">
      <c r="A5" s="33">
        <v>1</v>
      </c>
      <c r="B5" s="32" t="s">
        <v>290</v>
      </c>
      <c r="C5" s="31" t="s">
        <v>328</v>
      </c>
      <c r="D5" s="30" t="s">
        <v>327</v>
      </c>
      <c r="E5" s="11">
        <f>COUNTA(A1:A70)</f>
        <v>70</v>
      </c>
    </row>
    <row r="6" spans="1:5" ht="36" customHeight="1" x14ac:dyDescent="0.3">
      <c r="A6" s="33">
        <v>2</v>
      </c>
      <c r="B6" s="32" t="s">
        <v>290</v>
      </c>
      <c r="C6" s="31" t="s">
        <v>326</v>
      </c>
      <c r="D6" s="30" t="s">
        <v>325</v>
      </c>
      <c r="E6" s="34">
        <f>SUM(DB1_BankTransactions!G2:G71)</f>
        <v>5451207.1999999974</v>
      </c>
    </row>
    <row r="7" spans="1:5" ht="36" customHeight="1" x14ac:dyDescent="0.3">
      <c r="A7" s="33">
        <v>3</v>
      </c>
      <c r="B7" s="32" t="s">
        <v>290</v>
      </c>
      <c r="C7" s="31" t="s">
        <v>324</v>
      </c>
      <c r="D7" s="30" t="s">
        <v>323</v>
      </c>
      <c r="E7" s="11">
        <f>MAX(DB1_BankTransactions!L2:L71)</f>
        <v>850</v>
      </c>
    </row>
    <row r="8" spans="1:5" ht="36" customHeight="1" x14ac:dyDescent="0.3">
      <c r="A8" s="33">
        <v>4</v>
      </c>
      <c r="B8" s="32" t="s">
        <v>290</v>
      </c>
      <c r="C8" s="31" t="s">
        <v>322</v>
      </c>
      <c r="D8" s="30" t="s">
        <v>321</v>
      </c>
      <c r="E8" s="34">
        <f>MIN(DB1_BankTransactions!H2:H71)</f>
        <v>2075.5300000000002</v>
      </c>
    </row>
    <row r="9" spans="1:5" ht="36" customHeight="1" x14ac:dyDescent="0.3">
      <c r="A9" s="33">
        <v>5</v>
      </c>
      <c r="B9" s="32" t="s">
        <v>290</v>
      </c>
      <c r="C9" s="31" t="s">
        <v>320</v>
      </c>
      <c r="D9" s="30" t="s">
        <v>319</v>
      </c>
      <c r="E9" s="34">
        <f>AVERAGE(DB1_BankTransactions!G2:G71)</f>
        <v>77874.388571428528</v>
      </c>
    </row>
    <row r="10" spans="1:5" ht="36" customHeight="1" x14ac:dyDescent="0.3">
      <c r="A10" s="33">
        <v>6</v>
      </c>
      <c r="B10" s="32" t="s">
        <v>290</v>
      </c>
      <c r="C10" s="31" t="s">
        <v>318</v>
      </c>
      <c r="D10" s="30" t="s">
        <v>317</v>
      </c>
      <c r="E10" s="11">
        <f>COUNTIF(DB1_BankTransactions!F2:F71,"credit")</f>
        <v>14</v>
      </c>
    </row>
    <row r="11" spans="1:5" ht="36" customHeight="1" x14ac:dyDescent="0.3">
      <c r="A11" s="33">
        <v>7</v>
      </c>
      <c r="B11" s="32" t="s">
        <v>290</v>
      </c>
      <c r="C11" s="31" t="s">
        <v>316</v>
      </c>
      <c r="D11" s="30" t="s">
        <v>315</v>
      </c>
      <c r="E11" s="11" t="str">
        <f>DB1_BankTransactions!C6</f>
        <v>Meera Nair</v>
      </c>
    </row>
    <row r="12" spans="1:5" ht="36" customHeight="1" x14ac:dyDescent="0.3">
      <c r="A12" s="33">
        <v>8</v>
      </c>
      <c r="B12" s="32" t="s">
        <v>290</v>
      </c>
      <c r="C12" s="31" t="s">
        <v>314</v>
      </c>
      <c r="D12" s="30" t="s">
        <v>313</v>
      </c>
      <c r="E12" s="11">
        <f>COUNTA(DB1_BankTransactions!J2:J71)</f>
        <v>70</v>
      </c>
    </row>
    <row r="13" spans="1:5" ht="36" customHeight="1" x14ac:dyDescent="0.3">
      <c r="A13" s="33">
        <v>9</v>
      </c>
      <c r="B13" s="32" t="s">
        <v>290</v>
      </c>
      <c r="C13" s="31" t="s">
        <v>312</v>
      </c>
      <c r="D13" s="30" t="s">
        <v>311</v>
      </c>
      <c r="E13" s="11">
        <f>SUMIF(DB1_BankTransactions!E2:E71,"savings",DB1_BankTransactions!G2:G71)</f>
        <v>1031389.62</v>
      </c>
    </row>
    <row r="14" spans="1:5" ht="36" customHeight="1" x14ac:dyDescent="0.3">
      <c r="A14" s="33">
        <v>10</v>
      </c>
      <c r="B14" s="32" t="s">
        <v>290</v>
      </c>
      <c r="C14" s="31" t="s">
        <v>310</v>
      </c>
      <c r="D14" s="30" t="s">
        <v>309</v>
      </c>
      <c r="E14" s="11">
        <f>COUNTIF(DB1_BankTransactions!M2:M71,"yes")</f>
        <v>20</v>
      </c>
    </row>
    <row r="15" spans="1:5" ht="36" customHeight="1" x14ac:dyDescent="0.3">
      <c r="A15" s="33">
        <v>11</v>
      </c>
      <c r="B15" s="32" t="s">
        <v>290</v>
      </c>
      <c r="C15" s="31" t="s">
        <v>308</v>
      </c>
      <c r="D15" s="30" t="s">
        <v>307</v>
      </c>
      <c r="E15" s="11">
        <f>AVERAGE(DB1_BankTransactions!L2:L71)</f>
        <v>704.55714285714282</v>
      </c>
    </row>
    <row r="16" spans="1:5" ht="36" customHeight="1" x14ac:dyDescent="0.3">
      <c r="A16" s="33">
        <v>12</v>
      </c>
      <c r="B16" s="32" t="s">
        <v>290</v>
      </c>
      <c r="C16" s="31" t="s">
        <v>306</v>
      </c>
      <c r="D16" s="30" t="s">
        <v>305</v>
      </c>
      <c r="E16" s="11">
        <f>COUNTIF(DB1_BankTransactions!J2:J71,"bkc")</f>
        <v>10</v>
      </c>
    </row>
    <row r="17" spans="1:5" ht="36" customHeight="1" x14ac:dyDescent="0.3">
      <c r="A17" s="33">
        <v>13</v>
      </c>
      <c r="B17" s="32" t="s">
        <v>290</v>
      </c>
      <c r="C17" s="31" t="s">
        <v>304</v>
      </c>
      <c r="D17" s="30" t="s">
        <v>303</v>
      </c>
      <c r="E17" s="11">
        <f>_xlfn.MAXIFS(DB1_BankTransactions!G2:G71,DB1_BankTransactions!F2:F71,"debit")</f>
        <v>154453.32</v>
      </c>
    </row>
    <row r="18" spans="1:5" ht="36" customHeight="1" x14ac:dyDescent="0.3">
      <c r="A18" s="33">
        <v>14</v>
      </c>
      <c r="B18" s="32" t="s">
        <v>290</v>
      </c>
      <c r="C18" s="31" t="s">
        <v>302</v>
      </c>
      <c r="D18" s="30" t="s">
        <v>301</v>
      </c>
      <c r="E18" s="11">
        <f>SUMIF(DB1_BankTransactions!E2:E71,"current",DB1_BankTransactions!H2:H71)</f>
        <v>3378929.8899999997</v>
      </c>
    </row>
    <row r="19" spans="1:5" ht="36" customHeight="1" x14ac:dyDescent="0.3">
      <c r="A19" s="33">
        <v>15</v>
      </c>
      <c r="B19" s="32" t="s">
        <v>290</v>
      </c>
      <c r="C19" s="31" t="s">
        <v>300</v>
      </c>
      <c r="D19" s="30" t="s">
        <v>299</v>
      </c>
      <c r="E19" s="11" t="str">
        <f>LEFT(DB1_BankTransactions!A2,4)</f>
        <v>TXN1</v>
      </c>
    </row>
    <row r="20" spans="1:5" ht="36" customHeight="1" x14ac:dyDescent="0.3">
      <c r="A20" s="33">
        <v>16</v>
      </c>
      <c r="B20" s="32" t="s">
        <v>290</v>
      </c>
      <c r="C20" s="31" t="s">
        <v>298</v>
      </c>
      <c r="D20" s="30" t="s">
        <v>297</v>
      </c>
      <c r="E20" s="11">
        <f>LEN(DB1_BankTransactions!C2)</f>
        <v>10</v>
      </c>
    </row>
    <row r="21" spans="1:5" ht="36" customHeight="1" x14ac:dyDescent="0.3">
      <c r="A21" s="33">
        <v>17</v>
      </c>
      <c r="B21" s="32" t="s">
        <v>290</v>
      </c>
      <c r="C21" s="31" t="s">
        <v>296</v>
      </c>
      <c r="D21" s="30" t="s">
        <v>295</v>
      </c>
      <c r="E21" s="11" t="str">
        <f>UPPER(DB1_BankTransactions!J2)</f>
        <v>ANDHERI</v>
      </c>
    </row>
    <row r="22" spans="1:5" ht="36" customHeight="1" x14ac:dyDescent="0.3">
      <c r="A22" s="33">
        <v>18</v>
      </c>
      <c r="B22" s="32" t="s">
        <v>290</v>
      </c>
      <c r="C22" s="31" t="s">
        <v>294</v>
      </c>
      <c r="D22" s="30" t="s">
        <v>293</v>
      </c>
      <c r="E22" s="11" t="str">
        <f>LOWER(DB1_BankTransactions!D2)</f>
        <v>delhi</v>
      </c>
    </row>
    <row r="23" spans="1:5" ht="36" customHeight="1" x14ac:dyDescent="0.3">
      <c r="A23" s="33">
        <v>19</v>
      </c>
      <c r="B23" s="32" t="s">
        <v>290</v>
      </c>
      <c r="C23" s="31" t="s">
        <v>292</v>
      </c>
      <c r="D23" s="30" t="s">
        <v>291</v>
      </c>
      <c r="E23" s="11" t="str">
        <f>TRIM(DB1_BankTransactions!C2)</f>
        <v>Sneha Iyer</v>
      </c>
    </row>
    <row r="24" spans="1:5" ht="36" customHeight="1" x14ac:dyDescent="0.3">
      <c r="A24" s="33">
        <v>20</v>
      </c>
      <c r="B24" s="32" t="s">
        <v>290</v>
      </c>
      <c r="C24" s="31" t="s">
        <v>289</v>
      </c>
      <c r="D24" s="30" t="s">
        <v>288</v>
      </c>
      <c r="E24" s="29">
        <f ca="1">TODAY()</f>
        <v>46211</v>
      </c>
    </row>
    <row r="25" spans="1:5" ht="22.05" customHeight="1" x14ac:dyDescent="0.3">
      <c r="A25" s="28" t="s">
        <v>287</v>
      </c>
      <c r="B25" s="16"/>
      <c r="C25" s="16"/>
      <c r="D25" s="16"/>
      <c r="E25" s="16"/>
    </row>
    <row r="26" spans="1:5" ht="36" customHeight="1" x14ac:dyDescent="0.3">
      <c r="A26" s="27">
        <v>21</v>
      </c>
      <c r="B26" s="26" t="s">
        <v>245</v>
      </c>
      <c r="C26" s="25" t="s">
        <v>286</v>
      </c>
      <c r="D26" s="24" t="s">
        <v>285</v>
      </c>
      <c r="E26" s="11">
        <f>SUMIFS(DB1_BankTransactions!G2:G71,DB1_BankTransactions!D2:D71,"mumbai",DB1_BankTransactions!F2:F71,"credit")</f>
        <v>90275.28</v>
      </c>
    </row>
    <row r="27" spans="1:5" ht="36" customHeight="1" x14ac:dyDescent="0.3">
      <c r="A27" s="27">
        <v>22</v>
      </c>
      <c r="B27" s="26" t="s">
        <v>245</v>
      </c>
      <c r="C27" s="25" t="s">
        <v>284</v>
      </c>
      <c r="D27" s="24" t="s">
        <v>283</v>
      </c>
      <c r="E27" s="11">
        <f>COUNTIFS(DB1_BankTransactions!M2:M71,"yes",DB1_BankTransactions!F2:F71,"debit")</f>
        <v>3</v>
      </c>
    </row>
    <row r="28" spans="1:5" ht="36" customHeight="1" x14ac:dyDescent="0.3">
      <c r="A28" s="27">
        <v>23</v>
      </c>
      <c r="B28" s="26" t="s">
        <v>245</v>
      </c>
      <c r="C28" s="25" t="s">
        <v>282</v>
      </c>
      <c r="D28" s="24" t="s">
        <v>281</v>
      </c>
      <c r="E28" s="11" t="e">
        <f>VLOOKUP(DB1_BankTransactions!O6,DB1_BankTransactions!O2:P71,2,FALSE)</f>
        <v>#N/A</v>
      </c>
    </row>
    <row r="29" spans="1:5" ht="36" customHeight="1" x14ac:dyDescent="0.3">
      <c r="A29" s="27">
        <v>24</v>
      </c>
      <c r="B29" s="26" t="s">
        <v>245</v>
      </c>
      <c r="C29" s="25" t="s">
        <v>280</v>
      </c>
      <c r="D29" s="24" t="s">
        <v>279</v>
      </c>
      <c r="E29" s="11" t="str">
        <f>IF(DB1_BankTransactions!G3,"high value","normal")</f>
        <v>high value</v>
      </c>
    </row>
    <row r="30" spans="1:5" ht="36" customHeight="1" x14ac:dyDescent="0.3">
      <c r="A30" s="27">
        <v>25</v>
      </c>
      <c r="B30" s="26" t="s">
        <v>245</v>
      </c>
      <c r="C30" s="25" t="s">
        <v>278</v>
      </c>
      <c r="D30" s="24" t="s">
        <v>277</v>
      </c>
      <c r="E30" s="11">
        <f>AVERAGEIF(DB1_BankTransactions!E2:E71,"savings",DB1_BankTransactions!G2:G71)</f>
        <v>73670.687142857147</v>
      </c>
    </row>
    <row r="31" spans="1:5" ht="36" customHeight="1" x14ac:dyDescent="0.3">
      <c r="A31" s="27">
        <v>26</v>
      </c>
      <c r="B31" s="26" t="s">
        <v>245</v>
      </c>
      <c r="C31" s="25" t="s">
        <v>276</v>
      </c>
      <c r="D31" s="24" t="s">
        <v>275</v>
      </c>
      <c r="E31" s="11">
        <f>AVERAGEIFS(DB1_BankTransactions!G2:G71,DB1_BankTransactions!D2:D71,"mumbai",DB1_BankTransactions!F2:F71,"credit")</f>
        <v>45137.64</v>
      </c>
    </row>
    <row r="32" spans="1:5" ht="36" customHeight="1" x14ac:dyDescent="0.3">
      <c r="A32" s="27">
        <v>27</v>
      </c>
      <c r="B32" s="26" t="s">
        <v>245</v>
      </c>
      <c r="C32" s="25" t="s">
        <v>274</v>
      </c>
      <c r="D32" s="24" t="s">
        <v>273</v>
      </c>
      <c r="E32" s="11" t="str">
        <f>CONCATENATE(DB1_BankTransactions!C2,"-",DB1_BankTransactions!D2)</f>
        <v>Sneha Iyer-Delhi</v>
      </c>
    </row>
    <row r="33" spans="1:5" ht="36" customHeight="1" x14ac:dyDescent="0.3">
      <c r="A33" s="27">
        <v>28</v>
      </c>
      <c r="B33" s="26" t="s">
        <v>245</v>
      </c>
      <c r="C33" s="25" t="s">
        <v>272</v>
      </c>
      <c r="D33" s="24" t="s">
        <v>271</v>
      </c>
      <c r="E33" s="11" t="s">
        <v>270</v>
      </c>
    </row>
    <row r="34" spans="1:5" ht="36" customHeight="1" x14ac:dyDescent="0.3">
      <c r="A34" s="27">
        <v>29</v>
      </c>
      <c r="B34" s="26" t="s">
        <v>245</v>
      </c>
      <c r="C34" s="25" t="s">
        <v>269</v>
      </c>
      <c r="D34" s="24" t="s">
        <v>268</v>
      </c>
      <c r="E34" s="11" t="str">
        <f>IFERROR(VLOOKUP("txn9999",DB1_BankTransactions!A2:J71,2,FALSE),"not found")</f>
        <v>not found</v>
      </c>
    </row>
    <row r="35" spans="1:5" ht="36" customHeight="1" x14ac:dyDescent="0.3">
      <c r="A35" s="27">
        <v>30</v>
      </c>
      <c r="B35" s="26" t="s">
        <v>245</v>
      </c>
      <c r="C35" s="25" t="s">
        <v>267</v>
      </c>
      <c r="D35" s="24" t="s">
        <v>266</v>
      </c>
      <c r="E35" s="11">
        <f>SUMPRODUCT(DB1_BankTransactions!D2:D71)</f>
        <v>0</v>
      </c>
    </row>
    <row r="36" spans="1:5" ht="36" customHeight="1" x14ac:dyDescent="0.3">
      <c r="A36" s="27">
        <v>31</v>
      </c>
      <c r="B36" s="26" t="s">
        <v>245</v>
      </c>
      <c r="C36" s="25" t="s">
        <v>265</v>
      </c>
      <c r="D36" s="24" t="s">
        <v>264</v>
      </c>
      <c r="E36" s="11">
        <f>RANK(DB1_BankTransactions!G2,DB1_BankTransactions!G2:G71,0)</f>
        <v>1</v>
      </c>
    </row>
    <row r="37" spans="1:5" ht="36" customHeight="1" x14ac:dyDescent="0.3">
      <c r="A37" s="27">
        <v>32</v>
      </c>
      <c r="B37" s="26" t="s">
        <v>245</v>
      </c>
      <c r="C37" s="25" t="s">
        <v>263</v>
      </c>
      <c r="D37" s="24" t="s">
        <v>262</v>
      </c>
      <c r="E37" s="11" t="s">
        <v>261</v>
      </c>
    </row>
    <row r="38" spans="1:5" ht="36" customHeight="1" x14ac:dyDescent="0.3">
      <c r="A38" s="27">
        <v>33</v>
      </c>
      <c r="B38" s="26" t="s">
        <v>245</v>
      </c>
      <c r="C38" s="25" t="s">
        <v>260</v>
      </c>
      <c r="D38" s="24" t="s">
        <v>259</v>
      </c>
      <c r="E38" s="11" t="str">
        <f>_xlfn.XLOOKUP(DB1_BankTransactions!A11,DB1_BankTransactions!A2:A71,DB1_BankTransactions!K2:K71)</f>
        <v>Suresh Nair</v>
      </c>
    </row>
    <row r="39" spans="1:5" ht="36" customHeight="1" x14ac:dyDescent="0.3">
      <c r="A39" s="27">
        <v>34</v>
      </c>
      <c r="B39" s="26" t="s">
        <v>245</v>
      </c>
      <c r="C39" s="25" t="s">
        <v>258</v>
      </c>
      <c r="D39" s="24" t="s">
        <v>257</v>
      </c>
      <c r="E39" s="11" t="s">
        <v>254</v>
      </c>
    </row>
    <row r="40" spans="1:5" ht="36" customHeight="1" x14ac:dyDescent="0.3">
      <c r="A40" s="27">
        <v>35</v>
      </c>
      <c r="B40" s="26" t="s">
        <v>245</v>
      </c>
      <c r="C40" s="25" t="s">
        <v>256</v>
      </c>
      <c r="D40" s="24" t="s">
        <v>255</v>
      </c>
      <c r="E40" s="11" t="s">
        <v>254</v>
      </c>
    </row>
    <row r="41" spans="1:5" ht="36" customHeight="1" x14ac:dyDescent="0.3">
      <c r="A41" s="27">
        <v>36</v>
      </c>
      <c r="B41" s="26" t="s">
        <v>245</v>
      </c>
      <c r="C41" s="25" t="s">
        <v>253</v>
      </c>
      <c r="D41" s="24" t="s">
        <v>252</v>
      </c>
      <c r="E41" s="11" cm="1">
        <f t="array" ref="E41">SUMPRODUCT(DB1_BankTransactions!G2:G71*0.02)</f>
        <v>109024.14399999996</v>
      </c>
    </row>
    <row r="42" spans="1:5" ht="36" customHeight="1" x14ac:dyDescent="0.3">
      <c r="A42" s="27">
        <v>37</v>
      </c>
      <c r="B42" s="26" t="s">
        <v>245</v>
      </c>
      <c r="C42" s="25" t="s">
        <v>251</v>
      </c>
      <c r="D42" s="24" t="s">
        <v>250</v>
      </c>
      <c r="E42" s="11">
        <f>_xlfn.MAXIFS(DB1_BankTransactions!H2:H71,DB1_BankTransactions!L2:L71,"&gt;750")</f>
        <v>498665.56</v>
      </c>
    </row>
    <row r="43" spans="1:5" ht="36" customHeight="1" x14ac:dyDescent="0.3">
      <c r="A43" s="27">
        <v>38</v>
      </c>
      <c r="B43" s="26" t="s">
        <v>245</v>
      </c>
      <c r="C43" s="25" t="s">
        <v>249</v>
      </c>
      <c r="D43" s="24" t="s">
        <v>248</v>
      </c>
      <c r="E43" s="11" t="str">
        <f>RIGHT(DB1_BankTransactions!A2,5)</f>
        <v>10001</v>
      </c>
    </row>
    <row r="44" spans="1:5" ht="36" customHeight="1" x14ac:dyDescent="0.3">
      <c r="A44" s="27">
        <v>39</v>
      </c>
      <c r="B44" s="26" t="s">
        <v>245</v>
      </c>
      <c r="C44" s="25" t="s">
        <v>247</v>
      </c>
      <c r="D44" s="24" t="s">
        <v>246</v>
      </c>
      <c r="E44" s="11" t="str">
        <f>MID(DB1_BankTransactions!A2,4,4)</f>
        <v>1000</v>
      </c>
    </row>
    <row r="45" spans="1:5" ht="36" customHeight="1" x14ac:dyDescent="0.3">
      <c r="A45" s="27">
        <v>40</v>
      </c>
      <c r="B45" s="26" t="s">
        <v>245</v>
      </c>
      <c r="C45" s="25" t="s">
        <v>244</v>
      </c>
      <c r="D45" s="24" t="s">
        <v>243</v>
      </c>
      <c r="E45" s="23" t="s">
        <v>242</v>
      </c>
    </row>
    <row r="46" spans="1:5" ht="22.05" customHeight="1" x14ac:dyDescent="0.3">
      <c r="A46" s="22" t="s">
        <v>241</v>
      </c>
      <c r="B46" s="16"/>
      <c r="C46" s="16"/>
      <c r="D46" s="16"/>
      <c r="E46" s="16"/>
    </row>
    <row r="47" spans="1:5" ht="36" customHeight="1" x14ac:dyDescent="0.3">
      <c r="A47" s="21">
        <v>41</v>
      </c>
      <c r="B47" s="20" t="s">
        <v>202</v>
      </c>
      <c r="C47" s="19" t="s">
        <v>240</v>
      </c>
      <c r="D47" s="18" t="s">
        <v>239</v>
      </c>
      <c r="E47" s="11" t="str">
        <f>IF(DB1_BankTransactions!L2&lt;650,"poor",IF(DB1_BankTransactions!L2&gt;=750,"excellent","average"))</f>
        <v>average</v>
      </c>
    </row>
    <row r="48" spans="1:5" ht="36" customHeight="1" x14ac:dyDescent="0.3">
      <c r="A48" s="21">
        <v>42</v>
      </c>
      <c r="B48" s="20" t="s">
        <v>202</v>
      </c>
      <c r="C48" s="19" t="s">
        <v>238</v>
      </c>
      <c r="D48" s="18" t="s">
        <v>237</v>
      </c>
      <c r="E48" s="11"/>
    </row>
    <row r="49" spans="1:5" ht="36" customHeight="1" x14ac:dyDescent="0.3">
      <c r="A49" s="21">
        <v>43</v>
      </c>
      <c r="B49" s="20" t="s">
        <v>202</v>
      </c>
      <c r="C49" s="19" t="s">
        <v>236</v>
      </c>
      <c r="D49" s="18" t="s">
        <v>235</v>
      </c>
      <c r="E49" s="11"/>
    </row>
    <row r="50" spans="1:5" ht="36" customHeight="1" x14ac:dyDescent="0.3">
      <c r="A50" s="21">
        <v>44</v>
      </c>
      <c r="B50" s="20" t="s">
        <v>202</v>
      </c>
      <c r="C50" s="19" t="s">
        <v>234</v>
      </c>
      <c r="D50" s="18" t="s">
        <v>233</v>
      </c>
      <c r="E50" s="11"/>
    </row>
    <row r="51" spans="1:5" ht="36" customHeight="1" x14ac:dyDescent="0.3">
      <c r="A51" s="21">
        <v>45</v>
      </c>
      <c r="B51" s="20" t="s">
        <v>202</v>
      </c>
      <c r="C51" s="19" t="s">
        <v>232</v>
      </c>
      <c r="D51" s="18" t="s">
        <v>231</v>
      </c>
      <c r="E51" s="11"/>
    </row>
    <row r="52" spans="1:5" ht="36" customHeight="1" x14ac:dyDescent="0.3">
      <c r="A52" s="21">
        <v>46</v>
      </c>
      <c r="B52" s="20" t="s">
        <v>202</v>
      </c>
      <c r="C52" s="19" t="s">
        <v>230</v>
      </c>
      <c r="D52" s="18" t="s">
        <v>229</v>
      </c>
      <c r="E52" s="11"/>
    </row>
    <row r="53" spans="1:5" ht="36" customHeight="1" x14ac:dyDescent="0.3">
      <c r="A53" s="21">
        <v>47</v>
      </c>
      <c r="B53" s="20" t="s">
        <v>202</v>
      </c>
      <c r="C53" s="19" t="s">
        <v>228</v>
      </c>
      <c r="D53" s="18" t="s">
        <v>227</v>
      </c>
      <c r="E53" s="11"/>
    </row>
    <row r="54" spans="1:5" ht="36" customHeight="1" x14ac:dyDescent="0.3">
      <c r="A54" s="21">
        <v>48</v>
      </c>
      <c r="B54" s="20" t="s">
        <v>202</v>
      </c>
      <c r="C54" s="19" t="s">
        <v>226</v>
      </c>
      <c r="D54" s="18" t="s">
        <v>225</v>
      </c>
      <c r="E54" s="11"/>
    </row>
    <row r="55" spans="1:5" ht="36" customHeight="1" x14ac:dyDescent="0.3">
      <c r="A55" s="21">
        <v>49</v>
      </c>
      <c r="B55" s="20" t="s">
        <v>202</v>
      </c>
      <c r="C55" s="19" t="s">
        <v>224</v>
      </c>
      <c r="D55" s="18" t="s">
        <v>223</v>
      </c>
      <c r="E55" s="11"/>
    </row>
    <row r="56" spans="1:5" ht="36" customHeight="1" x14ac:dyDescent="0.3">
      <c r="A56" s="21">
        <v>50</v>
      </c>
      <c r="B56" s="20" t="s">
        <v>202</v>
      </c>
      <c r="C56" s="19" t="s">
        <v>222</v>
      </c>
      <c r="D56" s="18" t="s">
        <v>221</v>
      </c>
      <c r="E56" s="11"/>
    </row>
    <row r="57" spans="1:5" ht="36" customHeight="1" x14ac:dyDescent="0.3">
      <c r="A57" s="21">
        <v>51</v>
      </c>
      <c r="B57" s="20" t="s">
        <v>202</v>
      </c>
      <c r="C57" s="19" t="s">
        <v>220</v>
      </c>
      <c r="D57" s="18" t="s">
        <v>219</v>
      </c>
      <c r="E57" s="11"/>
    </row>
    <row r="58" spans="1:5" ht="36" customHeight="1" x14ac:dyDescent="0.3">
      <c r="A58" s="21">
        <v>52</v>
      </c>
      <c r="B58" s="20" t="s">
        <v>202</v>
      </c>
      <c r="C58" s="19" t="s">
        <v>218</v>
      </c>
      <c r="D58" s="18" t="s">
        <v>217</v>
      </c>
      <c r="E58" s="11"/>
    </row>
    <row r="59" spans="1:5" ht="36" customHeight="1" x14ac:dyDescent="0.3">
      <c r="A59" s="21">
        <v>53</v>
      </c>
      <c r="B59" s="20" t="s">
        <v>202</v>
      </c>
      <c r="C59" s="19" t="s">
        <v>216</v>
      </c>
      <c r="D59" s="18" t="s">
        <v>215</v>
      </c>
      <c r="E59" s="11"/>
    </row>
    <row r="60" spans="1:5" ht="36" customHeight="1" x14ac:dyDescent="0.3">
      <c r="A60" s="21">
        <v>54</v>
      </c>
      <c r="B60" s="20" t="s">
        <v>202</v>
      </c>
      <c r="C60" s="19" t="s">
        <v>214</v>
      </c>
      <c r="D60" s="18" t="s">
        <v>213</v>
      </c>
      <c r="E60" s="11"/>
    </row>
    <row r="61" spans="1:5" ht="36" customHeight="1" x14ac:dyDescent="0.3">
      <c r="A61" s="21">
        <v>55</v>
      </c>
      <c r="B61" s="20" t="s">
        <v>202</v>
      </c>
      <c r="C61" s="19" t="s">
        <v>212</v>
      </c>
      <c r="D61" s="18" t="s">
        <v>211</v>
      </c>
      <c r="E61" s="11"/>
    </row>
    <row r="62" spans="1:5" ht="36" customHeight="1" x14ac:dyDescent="0.3">
      <c r="A62" s="21">
        <v>56</v>
      </c>
      <c r="B62" s="20" t="s">
        <v>202</v>
      </c>
      <c r="C62" s="19" t="s">
        <v>210</v>
      </c>
      <c r="D62" s="18" t="s">
        <v>209</v>
      </c>
      <c r="E62" s="11"/>
    </row>
    <row r="63" spans="1:5" ht="36" customHeight="1" x14ac:dyDescent="0.3">
      <c r="A63" s="21">
        <v>57</v>
      </c>
      <c r="B63" s="20" t="s">
        <v>202</v>
      </c>
      <c r="C63" s="19" t="s">
        <v>208</v>
      </c>
      <c r="D63" s="18" t="s">
        <v>207</v>
      </c>
      <c r="E63" s="11"/>
    </row>
    <row r="64" spans="1:5" ht="36" customHeight="1" x14ac:dyDescent="0.3">
      <c r="A64" s="21">
        <v>58</v>
      </c>
      <c r="B64" s="20" t="s">
        <v>202</v>
      </c>
      <c r="C64" s="19" t="s">
        <v>206</v>
      </c>
      <c r="D64" s="18" t="s">
        <v>205</v>
      </c>
      <c r="E64" s="11"/>
    </row>
    <row r="65" spans="1:5" ht="36" customHeight="1" x14ac:dyDescent="0.3">
      <c r="A65" s="21">
        <v>59</v>
      </c>
      <c r="B65" s="20" t="s">
        <v>202</v>
      </c>
      <c r="C65" s="19" t="s">
        <v>204</v>
      </c>
      <c r="D65" s="18" t="s">
        <v>203</v>
      </c>
      <c r="E65" s="11"/>
    </row>
    <row r="66" spans="1:5" ht="36" customHeight="1" x14ac:dyDescent="0.3">
      <c r="A66" s="21">
        <v>60</v>
      </c>
      <c r="B66" s="20" t="s">
        <v>202</v>
      </c>
      <c r="C66" s="19" t="s">
        <v>201</v>
      </c>
      <c r="D66" s="18" t="s">
        <v>200</v>
      </c>
      <c r="E66" s="11"/>
    </row>
    <row r="67" spans="1:5" ht="22.05" customHeight="1" x14ac:dyDescent="0.3">
      <c r="A67" s="17" t="s">
        <v>199</v>
      </c>
      <c r="B67" s="16"/>
      <c r="C67" s="16"/>
      <c r="D67" s="16"/>
      <c r="E67" s="16"/>
    </row>
    <row r="68" spans="1:5" ht="36" customHeight="1" x14ac:dyDescent="0.3">
      <c r="A68" s="15">
        <v>61</v>
      </c>
      <c r="B68" s="14" t="s">
        <v>164</v>
      </c>
      <c r="C68" s="13" t="s">
        <v>198</v>
      </c>
      <c r="D68" s="12" t="s">
        <v>197</v>
      </c>
      <c r="E68" s="11"/>
    </row>
    <row r="69" spans="1:5" ht="36" customHeight="1" x14ac:dyDescent="0.3">
      <c r="A69" s="15">
        <v>62</v>
      </c>
      <c r="B69" s="14" t="s">
        <v>164</v>
      </c>
      <c r="C69" s="13" t="s">
        <v>196</v>
      </c>
      <c r="D69" s="12" t="s">
        <v>195</v>
      </c>
      <c r="E69" s="11"/>
    </row>
    <row r="70" spans="1:5" ht="36" customHeight="1" x14ac:dyDescent="0.3">
      <c r="A70" s="15">
        <v>63</v>
      </c>
      <c r="B70" s="14" t="s">
        <v>164</v>
      </c>
      <c r="C70" s="13" t="s">
        <v>194</v>
      </c>
      <c r="D70" s="12" t="s">
        <v>193</v>
      </c>
      <c r="E70" s="11"/>
    </row>
    <row r="71" spans="1:5" ht="36" customHeight="1" x14ac:dyDescent="0.3">
      <c r="A71" s="15">
        <v>64</v>
      </c>
      <c r="B71" s="14" t="s">
        <v>164</v>
      </c>
      <c r="C71" s="13" t="s">
        <v>192</v>
      </c>
      <c r="D71" s="12" t="s">
        <v>191</v>
      </c>
      <c r="E71" s="11"/>
    </row>
    <row r="72" spans="1:5" ht="36" customHeight="1" x14ac:dyDescent="0.3">
      <c r="A72" s="15">
        <v>65</v>
      </c>
      <c r="B72" s="14" t="s">
        <v>164</v>
      </c>
      <c r="C72" s="13" t="s">
        <v>190</v>
      </c>
      <c r="D72" s="12" t="s">
        <v>189</v>
      </c>
      <c r="E72" s="11"/>
    </row>
    <row r="73" spans="1:5" ht="36" customHeight="1" x14ac:dyDescent="0.3">
      <c r="A73" s="15">
        <v>66</v>
      </c>
      <c r="B73" s="14" t="s">
        <v>164</v>
      </c>
      <c r="C73" s="13" t="s">
        <v>188</v>
      </c>
      <c r="D73" s="12" t="s">
        <v>187</v>
      </c>
      <c r="E73" s="11"/>
    </row>
    <row r="74" spans="1:5" ht="36" customHeight="1" x14ac:dyDescent="0.3">
      <c r="A74" s="15">
        <v>67</v>
      </c>
      <c r="B74" s="14" t="s">
        <v>164</v>
      </c>
      <c r="C74" s="13" t="s">
        <v>186</v>
      </c>
      <c r="D74" s="12"/>
      <c r="E74" s="11"/>
    </row>
    <row r="75" spans="1:5" ht="36" customHeight="1" x14ac:dyDescent="0.3">
      <c r="A75" s="15">
        <v>68</v>
      </c>
      <c r="B75" s="14" t="s">
        <v>164</v>
      </c>
      <c r="C75" s="13" t="s">
        <v>185</v>
      </c>
      <c r="D75" s="12" t="e">
        <f>IF(E2="Fixed Deposit",G2*0.075/365*30,"") — drag down</f>
        <v>#VALUE!</v>
      </c>
      <c r="E75" s="11"/>
    </row>
    <row r="76" spans="1:5" ht="36" customHeight="1" x14ac:dyDescent="0.3">
      <c r="A76" s="15">
        <v>69</v>
      </c>
      <c r="B76" s="14" t="s">
        <v>164</v>
      </c>
      <c r="C76" s="13" t="s">
        <v>184</v>
      </c>
      <c r="D76" s="12" t="s">
        <v>183</v>
      </c>
      <c r="E76" s="11"/>
    </row>
    <row r="77" spans="1:5" ht="36" customHeight="1" x14ac:dyDescent="0.3">
      <c r="A77" s="15">
        <v>70</v>
      </c>
      <c r="B77" s="14" t="s">
        <v>164</v>
      </c>
      <c r="C77" s="13" t="s">
        <v>182</v>
      </c>
      <c r="D77" s="12" t="s">
        <v>181</v>
      </c>
      <c r="E77" s="11"/>
    </row>
    <row r="78" spans="1:5" ht="36" customHeight="1" x14ac:dyDescent="0.3">
      <c r="A78" s="15">
        <v>71</v>
      </c>
      <c r="B78" s="14" t="s">
        <v>164</v>
      </c>
      <c r="C78" s="13" t="s">
        <v>180</v>
      </c>
      <c r="D78" s="12" t="s">
        <v>179</v>
      </c>
      <c r="E78" s="11"/>
    </row>
    <row r="79" spans="1:5" ht="36" customHeight="1" x14ac:dyDescent="0.3">
      <c r="A79" s="15">
        <v>72</v>
      </c>
      <c r="B79" s="14" t="s">
        <v>164</v>
      </c>
      <c r="C79" s="13" t="s">
        <v>178</v>
      </c>
      <c r="D79" s="12" t="s">
        <v>177</v>
      </c>
      <c r="E79" s="11"/>
    </row>
    <row r="80" spans="1:5" ht="36" customHeight="1" x14ac:dyDescent="0.3">
      <c r="A80" s="15">
        <v>73</v>
      </c>
      <c r="B80" s="14" t="s">
        <v>164</v>
      </c>
      <c r="C80" s="13" t="s">
        <v>176</v>
      </c>
      <c r="D80" s="12" t="s">
        <v>175</v>
      </c>
      <c r="E80" s="11"/>
    </row>
    <row r="81" spans="1:5" ht="36" customHeight="1" x14ac:dyDescent="0.3">
      <c r="A81" s="15">
        <v>74</v>
      </c>
      <c r="B81" s="14" t="s">
        <v>164</v>
      </c>
      <c r="C81" s="13" t="s">
        <v>174</v>
      </c>
      <c r="D81" s="12" t="e">
        <f>IF(H2&lt;G2,"Risk","OK") — filter or highlight Risk rows</f>
        <v>#VALUE!</v>
      </c>
      <c r="E81" s="11"/>
    </row>
    <row r="82" spans="1:5" ht="36" customHeight="1" x14ac:dyDescent="0.3">
      <c r="A82" s="15">
        <v>75</v>
      </c>
      <c r="B82" s="14" t="s">
        <v>164</v>
      </c>
      <c r="C82" s="13" t="s">
        <v>173</v>
      </c>
      <c r="D82" s="12">
        <f>SUMIF(F2:F71,CHOOSE(P1,"Credit","Debit","Transfer"),G2:G71)</f>
        <v>0</v>
      </c>
      <c r="E82" s="11"/>
    </row>
    <row r="83" spans="1:5" ht="36" customHeight="1" x14ac:dyDescent="0.3">
      <c r="A83" s="15">
        <v>76</v>
      </c>
      <c r="B83" s="14" t="s">
        <v>164</v>
      </c>
      <c r="C83" s="13" t="s">
        <v>172</v>
      </c>
      <c r="D83" s="12" t="s">
        <v>171</v>
      </c>
      <c r="E83" s="11"/>
    </row>
    <row r="84" spans="1:5" ht="36" customHeight="1" x14ac:dyDescent="0.3">
      <c r="A84" s="15">
        <v>77</v>
      </c>
      <c r="B84" s="14" t="s">
        <v>164</v>
      </c>
      <c r="C84" s="13" t="s">
        <v>170</v>
      </c>
      <c r="D84" s="12" t="s">
        <v>169</v>
      </c>
      <c r="E84" s="11"/>
    </row>
    <row r="85" spans="1:5" ht="36" customHeight="1" x14ac:dyDescent="0.3">
      <c r="A85" s="15">
        <v>78</v>
      </c>
      <c r="B85" s="14" t="s">
        <v>164</v>
      </c>
      <c r="C85" s="13" t="s">
        <v>168</v>
      </c>
      <c r="D85" s="12" t="s">
        <v>167</v>
      </c>
      <c r="E85" s="11"/>
    </row>
    <row r="86" spans="1:5" ht="36" customHeight="1" x14ac:dyDescent="0.3">
      <c r="A86" s="15">
        <v>79</v>
      </c>
      <c r="B86" s="14" t="s">
        <v>164</v>
      </c>
      <c r="C86" s="13" t="s">
        <v>166</v>
      </c>
      <c r="D86" s="12" t="s">
        <v>165</v>
      </c>
      <c r="E86" s="11"/>
    </row>
    <row r="87" spans="1:5" ht="36" customHeight="1" x14ac:dyDescent="0.3">
      <c r="A87" s="15">
        <v>80</v>
      </c>
      <c r="B87" s="14" t="s">
        <v>164</v>
      </c>
      <c r="C87" s="13" t="s">
        <v>163</v>
      </c>
      <c r="D87" s="12" t="s">
        <v>162</v>
      </c>
      <c r="E87" s="11"/>
    </row>
  </sheetData>
  <mergeCells count="6">
    <mergeCell ref="A67:E67"/>
    <mergeCell ref="A4:E4"/>
    <mergeCell ref="A2:E2"/>
    <mergeCell ref="A25:E25"/>
    <mergeCell ref="A1:E1"/>
    <mergeCell ref="A46:E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82089-1FEE-4874-98EE-FB87A0D1928E}">
  <dimension ref="A1:CG73"/>
  <sheetViews>
    <sheetView zoomScale="94" zoomScaleNormal="100" workbookViewId="0">
      <pane ySplit="1" topLeftCell="A2" activePane="bottomLeft" state="frozen"/>
      <selection pane="bottomLeft" activeCell="O11" sqref="O11"/>
    </sheetView>
  </sheetViews>
  <sheetFormatPr defaultRowHeight="14.4" x14ac:dyDescent="0.3"/>
  <cols>
    <col min="1" max="1" width="10" customWidth="1"/>
    <col min="2" max="2" width="12" customWidth="1"/>
    <col min="3" max="3" width="20" customWidth="1"/>
    <col min="4" max="4" width="14" customWidth="1"/>
    <col min="5" max="5" width="15" customWidth="1"/>
    <col min="6" max="6" width="14" customWidth="1"/>
    <col min="7" max="7" width="12" customWidth="1"/>
    <col min="8" max="8" width="14" customWidth="1"/>
    <col min="9" max="9" width="13" customWidth="1"/>
    <col min="10" max="10" width="14" customWidth="1"/>
    <col min="11" max="11" width="22" customWidth="1"/>
    <col min="12" max="12" width="13" customWidth="1"/>
    <col min="13" max="13" width="11" customWidth="1"/>
  </cols>
  <sheetData>
    <row r="1" spans="1:85" ht="28.05" customHeight="1" x14ac:dyDescent="0.3">
      <c r="A1" s="10" t="s">
        <v>161</v>
      </c>
      <c r="B1" s="10" t="s">
        <v>160</v>
      </c>
      <c r="C1" s="10" t="s">
        <v>159</v>
      </c>
      <c r="D1" s="10" t="s">
        <v>158</v>
      </c>
      <c r="E1" s="10" t="s">
        <v>157</v>
      </c>
      <c r="F1" s="10" t="s">
        <v>156</v>
      </c>
      <c r="G1" s="10" t="s">
        <v>155</v>
      </c>
      <c r="H1" s="10" t="s">
        <v>154</v>
      </c>
      <c r="I1" s="10" t="s">
        <v>153</v>
      </c>
      <c r="J1" s="10" t="s">
        <v>152</v>
      </c>
      <c r="K1" s="10" t="s">
        <v>151</v>
      </c>
      <c r="L1" s="10" t="s">
        <v>150</v>
      </c>
      <c r="M1" s="10" t="s">
        <v>149</v>
      </c>
    </row>
    <row r="2" spans="1:85" ht="18" customHeight="1" x14ac:dyDescent="0.3">
      <c r="A2" s="7" t="s">
        <v>148</v>
      </c>
      <c r="B2" s="7" t="s">
        <v>92</v>
      </c>
      <c r="C2" s="6" t="s">
        <v>61</v>
      </c>
      <c r="D2" s="6" t="s">
        <v>51</v>
      </c>
      <c r="E2" s="6" t="s">
        <v>38</v>
      </c>
      <c r="F2" s="6" t="s">
        <v>37</v>
      </c>
      <c r="G2" s="9">
        <v>154453.32</v>
      </c>
      <c r="H2" s="9">
        <v>13480.37</v>
      </c>
      <c r="I2" s="8">
        <v>45432</v>
      </c>
      <c r="J2" s="6" t="s">
        <v>50</v>
      </c>
      <c r="K2" s="6" t="s">
        <v>49</v>
      </c>
      <c r="L2" s="7">
        <v>705</v>
      </c>
      <c r="M2" s="6" t="s">
        <v>0</v>
      </c>
      <c r="BW2" s="2"/>
      <c r="BX2" s="6"/>
      <c r="BY2" s="2"/>
      <c r="BZ2" s="6"/>
      <c r="CA2" s="2"/>
      <c r="CB2" s="6"/>
      <c r="CC2" s="2"/>
      <c r="CD2" s="6"/>
      <c r="CE2" s="2"/>
      <c r="CF2" s="6"/>
      <c r="CG2" s="2"/>
    </row>
    <row r="3" spans="1:85" ht="18" customHeight="1" x14ac:dyDescent="0.3">
      <c r="A3" s="3" t="s">
        <v>147</v>
      </c>
      <c r="B3" s="3" t="s">
        <v>89</v>
      </c>
      <c r="C3" s="2" t="s">
        <v>58</v>
      </c>
      <c r="D3" s="2" t="s">
        <v>45</v>
      </c>
      <c r="E3" s="2" t="s">
        <v>30</v>
      </c>
      <c r="F3" s="2" t="s">
        <v>29</v>
      </c>
      <c r="G3" s="5">
        <v>147790.62</v>
      </c>
      <c r="H3" s="5">
        <v>368499.14</v>
      </c>
      <c r="I3" s="4">
        <v>45638</v>
      </c>
      <c r="J3" s="2" t="s">
        <v>44</v>
      </c>
      <c r="K3" s="2" t="s">
        <v>43</v>
      </c>
      <c r="L3" s="3">
        <v>624</v>
      </c>
      <c r="M3" s="2" t="s">
        <v>0</v>
      </c>
    </row>
    <row r="4" spans="1:85" ht="18" customHeight="1" x14ac:dyDescent="0.3">
      <c r="A4" s="7" t="s">
        <v>146</v>
      </c>
      <c r="B4" s="7" t="s">
        <v>86</v>
      </c>
      <c r="C4" s="6" t="s">
        <v>55</v>
      </c>
      <c r="D4" s="6" t="s">
        <v>39</v>
      </c>
      <c r="E4" s="6" t="s">
        <v>21</v>
      </c>
      <c r="F4" s="6" t="s">
        <v>20</v>
      </c>
      <c r="G4" s="9">
        <v>145980.81</v>
      </c>
      <c r="H4" s="9">
        <v>16859.560000000001</v>
      </c>
      <c r="I4" s="8">
        <v>45339</v>
      </c>
      <c r="J4" s="6" t="s">
        <v>36</v>
      </c>
      <c r="K4" s="6" t="s">
        <v>35</v>
      </c>
      <c r="L4" s="7">
        <v>691</v>
      </c>
      <c r="M4" s="6" t="s">
        <v>0</v>
      </c>
    </row>
    <row r="5" spans="1:85" ht="18" customHeight="1" x14ac:dyDescent="0.3">
      <c r="A5" s="3" t="s">
        <v>145</v>
      </c>
      <c r="B5" s="3" t="s">
        <v>83</v>
      </c>
      <c r="C5" s="2" t="s">
        <v>52</v>
      </c>
      <c r="D5" s="2" t="s">
        <v>31</v>
      </c>
      <c r="E5" s="2" t="s">
        <v>13</v>
      </c>
      <c r="F5" s="2" t="s">
        <v>12</v>
      </c>
      <c r="G5" s="5">
        <v>144136.45000000001</v>
      </c>
      <c r="H5" s="5">
        <v>301407.34999999998</v>
      </c>
      <c r="I5" s="4">
        <v>45579</v>
      </c>
      <c r="J5" s="2" t="s">
        <v>28</v>
      </c>
      <c r="K5" s="2" t="s">
        <v>27</v>
      </c>
      <c r="L5" s="3">
        <v>681</v>
      </c>
      <c r="M5" s="2" t="s">
        <v>0</v>
      </c>
    </row>
    <row r="6" spans="1:85" ht="18" customHeight="1" x14ac:dyDescent="0.3">
      <c r="A6" s="7" t="s">
        <v>144</v>
      </c>
      <c r="B6" s="7" t="s">
        <v>80</v>
      </c>
      <c r="C6" s="6" t="s">
        <v>46</v>
      </c>
      <c r="D6" s="6" t="s">
        <v>22</v>
      </c>
      <c r="E6" s="6" t="s">
        <v>4</v>
      </c>
      <c r="F6" s="6" t="s">
        <v>3</v>
      </c>
      <c r="G6" s="5">
        <v>143603.35</v>
      </c>
      <c r="H6" s="9">
        <v>350961.16</v>
      </c>
      <c r="I6" s="8">
        <v>45506</v>
      </c>
      <c r="J6" s="6" t="s">
        <v>19</v>
      </c>
      <c r="K6" s="6" t="s">
        <v>18</v>
      </c>
      <c r="L6" s="7">
        <v>692</v>
      </c>
      <c r="M6" s="6" t="s">
        <v>0</v>
      </c>
    </row>
    <row r="7" spans="1:85" ht="18" customHeight="1" x14ac:dyDescent="0.3">
      <c r="A7" s="3" t="s">
        <v>143</v>
      </c>
      <c r="B7" s="3" t="s">
        <v>77</v>
      </c>
      <c r="C7" s="2" t="s">
        <v>40</v>
      </c>
      <c r="D7" s="2" t="s">
        <v>14</v>
      </c>
      <c r="E7" s="2" t="s">
        <v>38</v>
      </c>
      <c r="F7" s="2" t="s">
        <v>37</v>
      </c>
      <c r="G7" s="5">
        <v>143095.48000000001</v>
      </c>
      <c r="H7" s="5">
        <v>139817.16</v>
      </c>
      <c r="I7" s="4">
        <v>45295</v>
      </c>
      <c r="J7" s="2" t="s">
        <v>11</v>
      </c>
      <c r="K7" s="2" t="s">
        <v>10</v>
      </c>
      <c r="L7" s="3">
        <v>661</v>
      </c>
      <c r="M7" s="2" t="s">
        <v>0</v>
      </c>
    </row>
    <row r="8" spans="1:85" ht="18" customHeight="1" x14ac:dyDescent="0.3">
      <c r="A8" s="7" t="s">
        <v>142</v>
      </c>
      <c r="B8" s="7" t="s">
        <v>74</v>
      </c>
      <c r="C8" s="6" t="s">
        <v>32</v>
      </c>
      <c r="D8" s="6" t="s">
        <v>5</v>
      </c>
      <c r="E8" s="6" t="s">
        <v>30</v>
      </c>
      <c r="F8" s="6" t="s">
        <v>29</v>
      </c>
      <c r="G8" s="5">
        <v>139372.57</v>
      </c>
      <c r="H8" s="9">
        <v>170785.01</v>
      </c>
      <c r="I8" s="8">
        <v>45371</v>
      </c>
      <c r="J8" s="6" t="s">
        <v>2</v>
      </c>
      <c r="K8" s="6" t="s">
        <v>1</v>
      </c>
      <c r="L8" s="7">
        <v>690</v>
      </c>
      <c r="M8" s="6" t="s">
        <v>0</v>
      </c>
    </row>
    <row r="9" spans="1:85" ht="18" customHeight="1" x14ac:dyDescent="0.3">
      <c r="A9" s="3" t="s">
        <v>141</v>
      </c>
      <c r="B9" s="3" t="s">
        <v>71</v>
      </c>
      <c r="C9" s="2" t="s">
        <v>23</v>
      </c>
      <c r="D9" s="2" t="s">
        <v>51</v>
      </c>
      <c r="E9" s="2" t="s">
        <v>21</v>
      </c>
      <c r="F9" s="2" t="s">
        <v>20</v>
      </c>
      <c r="G9" s="9">
        <v>139014.45000000001</v>
      </c>
      <c r="H9" s="5">
        <v>168960.68</v>
      </c>
      <c r="I9" s="4">
        <v>45339</v>
      </c>
      <c r="J9" s="2" t="s">
        <v>50</v>
      </c>
      <c r="K9" s="2" t="s">
        <v>49</v>
      </c>
      <c r="L9" s="3">
        <v>774</v>
      </c>
      <c r="M9" s="2" t="s">
        <v>26</v>
      </c>
    </row>
    <row r="10" spans="1:85" ht="18" customHeight="1" x14ac:dyDescent="0.3">
      <c r="A10" s="7" t="s">
        <v>140</v>
      </c>
      <c r="B10" s="7" t="s">
        <v>68</v>
      </c>
      <c r="C10" s="6" t="s">
        <v>15</v>
      </c>
      <c r="D10" s="6" t="s">
        <v>45</v>
      </c>
      <c r="E10" s="6" t="s">
        <v>13</v>
      </c>
      <c r="F10" s="6" t="s">
        <v>12</v>
      </c>
      <c r="G10" s="5">
        <v>138991.85999999999</v>
      </c>
      <c r="H10" s="9">
        <v>423899.69</v>
      </c>
      <c r="I10" s="8">
        <v>45601</v>
      </c>
      <c r="J10" s="6" t="s">
        <v>44</v>
      </c>
      <c r="K10" s="6" t="s">
        <v>43</v>
      </c>
      <c r="L10" s="7">
        <v>715</v>
      </c>
      <c r="M10" s="6" t="s">
        <v>0</v>
      </c>
    </row>
    <row r="11" spans="1:85" ht="18" customHeight="1" x14ac:dyDescent="0.3">
      <c r="A11" s="3" t="s">
        <v>139</v>
      </c>
      <c r="B11" s="3" t="s">
        <v>65</v>
      </c>
      <c r="C11" s="2" t="s">
        <v>6</v>
      </c>
      <c r="D11" s="2" t="s">
        <v>39</v>
      </c>
      <c r="E11" s="2" t="s">
        <v>4</v>
      </c>
      <c r="F11" s="2" t="s">
        <v>3</v>
      </c>
      <c r="G11" s="9">
        <v>131868.92000000001</v>
      </c>
      <c r="H11" s="5">
        <v>365136.16</v>
      </c>
      <c r="I11" s="4">
        <v>45566</v>
      </c>
      <c r="J11" s="2" t="s">
        <v>36</v>
      </c>
      <c r="K11" s="2" t="s">
        <v>35</v>
      </c>
      <c r="L11" s="3">
        <v>643</v>
      </c>
      <c r="M11" s="2" t="s">
        <v>0</v>
      </c>
    </row>
    <row r="12" spans="1:85" ht="18" customHeight="1" x14ac:dyDescent="0.3">
      <c r="A12" s="7" t="s">
        <v>138</v>
      </c>
      <c r="B12" s="7" t="s">
        <v>62</v>
      </c>
      <c r="C12" s="6" t="s">
        <v>91</v>
      </c>
      <c r="D12" s="6" t="s">
        <v>31</v>
      </c>
      <c r="E12" s="6" t="s">
        <v>38</v>
      </c>
      <c r="F12" s="6" t="s">
        <v>37</v>
      </c>
      <c r="G12" s="5">
        <v>126329.57</v>
      </c>
      <c r="H12" s="9">
        <v>189888.65</v>
      </c>
      <c r="I12" s="8">
        <v>45574</v>
      </c>
      <c r="J12" s="6" t="s">
        <v>28</v>
      </c>
      <c r="K12" s="6" t="s">
        <v>27</v>
      </c>
      <c r="L12" s="7">
        <v>730</v>
      </c>
      <c r="M12" s="6" t="s">
        <v>0</v>
      </c>
    </row>
    <row r="13" spans="1:85" ht="18" customHeight="1" x14ac:dyDescent="0.3">
      <c r="A13" s="3" t="s">
        <v>137</v>
      </c>
      <c r="B13" s="3" t="s">
        <v>59</v>
      </c>
      <c r="C13" s="2" t="s">
        <v>88</v>
      </c>
      <c r="D13" s="2" t="s">
        <v>22</v>
      </c>
      <c r="E13" s="2" t="s">
        <v>30</v>
      </c>
      <c r="F13" s="2" t="s">
        <v>29</v>
      </c>
      <c r="G13" s="5">
        <v>124496</v>
      </c>
      <c r="H13" s="5">
        <v>309641.36</v>
      </c>
      <c r="I13" s="4">
        <v>45477</v>
      </c>
      <c r="J13" s="2" t="s">
        <v>19</v>
      </c>
      <c r="K13" s="2" t="s">
        <v>18</v>
      </c>
      <c r="L13" s="3">
        <v>678</v>
      </c>
      <c r="M13" s="2" t="s">
        <v>0</v>
      </c>
    </row>
    <row r="14" spans="1:85" ht="18" customHeight="1" x14ac:dyDescent="0.3">
      <c r="A14" s="7" t="s">
        <v>136</v>
      </c>
      <c r="B14" s="7" t="s">
        <v>56</v>
      </c>
      <c r="C14" s="6" t="s">
        <v>85</v>
      </c>
      <c r="D14" s="6" t="s">
        <v>14</v>
      </c>
      <c r="E14" s="6" t="s">
        <v>21</v>
      </c>
      <c r="F14" s="6" t="s">
        <v>20</v>
      </c>
      <c r="G14" s="5">
        <v>123359.49</v>
      </c>
      <c r="H14" s="9">
        <v>23866.37</v>
      </c>
      <c r="I14" s="8">
        <v>45408</v>
      </c>
      <c r="J14" s="6" t="s">
        <v>11</v>
      </c>
      <c r="K14" s="6" t="s">
        <v>10</v>
      </c>
      <c r="L14" s="7">
        <v>728</v>
      </c>
      <c r="M14" s="6" t="s">
        <v>0</v>
      </c>
    </row>
    <row r="15" spans="1:85" ht="18" customHeight="1" x14ac:dyDescent="0.3">
      <c r="A15" s="3" t="s">
        <v>135</v>
      </c>
      <c r="B15" s="3" t="s">
        <v>53</v>
      </c>
      <c r="C15" s="2" t="s">
        <v>82</v>
      </c>
      <c r="D15" s="2" t="s">
        <v>5</v>
      </c>
      <c r="E15" s="2" t="s">
        <v>13</v>
      </c>
      <c r="F15" s="2" t="s">
        <v>12</v>
      </c>
      <c r="G15" s="5">
        <v>121299.33</v>
      </c>
      <c r="H15" s="5">
        <v>427803.54</v>
      </c>
      <c r="I15" s="4">
        <v>45343</v>
      </c>
      <c r="J15" s="2" t="s">
        <v>2</v>
      </c>
      <c r="K15" s="2" t="s">
        <v>1</v>
      </c>
      <c r="L15" s="3">
        <v>774</v>
      </c>
      <c r="M15" s="2" t="s">
        <v>26</v>
      </c>
    </row>
    <row r="16" spans="1:85" ht="18" customHeight="1" x14ac:dyDescent="0.3">
      <c r="A16" s="7" t="s">
        <v>134</v>
      </c>
      <c r="B16" s="7" t="s">
        <v>47</v>
      </c>
      <c r="C16" s="6" t="s">
        <v>79</v>
      </c>
      <c r="D16" s="6" t="s">
        <v>51</v>
      </c>
      <c r="E16" s="6" t="s">
        <v>4</v>
      </c>
      <c r="F16" s="6" t="s">
        <v>3</v>
      </c>
      <c r="G16" s="5">
        <v>121165.68</v>
      </c>
      <c r="H16" s="9">
        <v>318206.53999999998</v>
      </c>
      <c r="I16" s="8">
        <v>45478</v>
      </c>
      <c r="J16" s="6" t="s">
        <v>50</v>
      </c>
      <c r="K16" s="6" t="s">
        <v>49</v>
      </c>
      <c r="L16" s="7">
        <v>663</v>
      </c>
      <c r="M16" s="6" t="s">
        <v>0</v>
      </c>
    </row>
    <row r="17" spans="1:13" ht="18" customHeight="1" x14ac:dyDescent="0.3">
      <c r="A17" s="3" t="s">
        <v>133</v>
      </c>
      <c r="B17" s="3" t="s">
        <v>41</v>
      </c>
      <c r="C17" s="2" t="s">
        <v>76</v>
      </c>
      <c r="D17" s="2" t="s">
        <v>45</v>
      </c>
      <c r="E17" s="2" t="s">
        <v>38</v>
      </c>
      <c r="F17" s="2" t="s">
        <v>37</v>
      </c>
      <c r="G17" s="9">
        <v>114413.35</v>
      </c>
      <c r="H17" s="5">
        <v>105544.01</v>
      </c>
      <c r="I17" s="4">
        <v>45428</v>
      </c>
      <c r="J17" s="2" t="s">
        <v>44</v>
      </c>
      <c r="K17" s="2" t="s">
        <v>43</v>
      </c>
      <c r="L17" s="3">
        <v>616</v>
      </c>
      <c r="M17" s="2" t="s">
        <v>0</v>
      </c>
    </row>
    <row r="18" spans="1:13" ht="18" customHeight="1" x14ac:dyDescent="0.3">
      <c r="A18" s="7" t="s">
        <v>132</v>
      </c>
      <c r="B18" s="7" t="s">
        <v>33</v>
      </c>
      <c r="C18" s="6" t="s">
        <v>73</v>
      </c>
      <c r="D18" s="6" t="s">
        <v>39</v>
      </c>
      <c r="E18" s="6" t="s">
        <v>30</v>
      </c>
      <c r="F18" s="6" t="s">
        <v>29</v>
      </c>
      <c r="G18" s="5">
        <v>112322.35</v>
      </c>
      <c r="H18" s="9">
        <v>86398.19</v>
      </c>
      <c r="I18" s="8">
        <v>45417</v>
      </c>
      <c r="J18" s="6" t="s">
        <v>36</v>
      </c>
      <c r="K18" s="6" t="s">
        <v>35</v>
      </c>
      <c r="L18" s="7">
        <v>663</v>
      </c>
      <c r="M18" s="6" t="s">
        <v>0</v>
      </c>
    </row>
    <row r="19" spans="1:13" ht="18" customHeight="1" x14ac:dyDescent="0.3">
      <c r="A19" s="3" t="s">
        <v>131</v>
      </c>
      <c r="B19" s="3" t="s">
        <v>24</v>
      </c>
      <c r="C19" s="2" t="s">
        <v>70</v>
      </c>
      <c r="D19" s="2" t="s">
        <v>31</v>
      </c>
      <c r="E19" s="2" t="s">
        <v>21</v>
      </c>
      <c r="F19" s="2" t="s">
        <v>20</v>
      </c>
      <c r="G19" s="5">
        <v>112178.56</v>
      </c>
      <c r="H19" s="5">
        <v>135703.97</v>
      </c>
      <c r="I19" s="4">
        <v>45619</v>
      </c>
      <c r="J19" s="2" t="s">
        <v>28</v>
      </c>
      <c r="K19" s="2" t="s">
        <v>27</v>
      </c>
      <c r="L19" s="3">
        <v>692</v>
      </c>
      <c r="M19" s="2" t="s">
        <v>0</v>
      </c>
    </row>
    <row r="20" spans="1:13" ht="18" customHeight="1" x14ac:dyDescent="0.3">
      <c r="A20" s="7" t="s">
        <v>130</v>
      </c>
      <c r="B20" s="7" t="s">
        <v>16</v>
      </c>
      <c r="C20" s="6" t="s">
        <v>67</v>
      </c>
      <c r="D20" s="6" t="s">
        <v>22</v>
      </c>
      <c r="E20" s="6" t="s">
        <v>13</v>
      </c>
      <c r="F20" s="6" t="s">
        <v>12</v>
      </c>
      <c r="G20" s="9">
        <v>109920.19</v>
      </c>
      <c r="H20" s="9">
        <v>421583.11</v>
      </c>
      <c r="I20" s="8">
        <v>45320</v>
      </c>
      <c r="J20" s="6" t="s">
        <v>19</v>
      </c>
      <c r="K20" s="6" t="s">
        <v>18</v>
      </c>
      <c r="L20" s="7">
        <v>697</v>
      </c>
      <c r="M20" s="6" t="s">
        <v>0</v>
      </c>
    </row>
    <row r="21" spans="1:13" ht="18" customHeight="1" x14ac:dyDescent="0.3">
      <c r="A21" s="3" t="s">
        <v>129</v>
      </c>
      <c r="B21" s="3" t="s">
        <v>7</v>
      </c>
      <c r="C21" s="2" t="s">
        <v>64</v>
      </c>
      <c r="D21" s="2" t="s">
        <v>14</v>
      </c>
      <c r="E21" s="2" t="s">
        <v>4</v>
      </c>
      <c r="F21" s="2" t="s">
        <v>3</v>
      </c>
      <c r="G21" s="9">
        <v>107544.93</v>
      </c>
      <c r="H21" s="5">
        <v>402717.85</v>
      </c>
      <c r="I21" s="4">
        <v>45497</v>
      </c>
      <c r="J21" s="2" t="s">
        <v>11</v>
      </c>
      <c r="K21" s="2" t="s">
        <v>10</v>
      </c>
      <c r="L21" s="3">
        <v>717</v>
      </c>
      <c r="M21" s="2" t="s">
        <v>0</v>
      </c>
    </row>
    <row r="22" spans="1:13" ht="18" customHeight="1" x14ac:dyDescent="0.3">
      <c r="A22" s="7" t="s">
        <v>128</v>
      </c>
      <c r="B22" s="7" t="s">
        <v>102</v>
      </c>
      <c r="C22" s="6" t="s">
        <v>61</v>
      </c>
      <c r="D22" s="6" t="s">
        <v>5</v>
      </c>
      <c r="E22" s="6" t="s">
        <v>38</v>
      </c>
      <c r="F22" s="6" t="s">
        <v>37</v>
      </c>
      <c r="G22" s="9">
        <v>107085.87</v>
      </c>
      <c r="H22" s="9">
        <v>456654.93</v>
      </c>
      <c r="I22" s="8">
        <v>45582</v>
      </c>
      <c r="J22" s="6" t="s">
        <v>2</v>
      </c>
      <c r="K22" s="6" t="s">
        <v>1</v>
      </c>
      <c r="L22" s="7">
        <v>741</v>
      </c>
      <c r="M22" s="6" t="s">
        <v>0</v>
      </c>
    </row>
    <row r="23" spans="1:13" ht="18" customHeight="1" x14ac:dyDescent="0.3">
      <c r="A23" s="3" t="s">
        <v>127</v>
      </c>
      <c r="B23" s="3" t="s">
        <v>100</v>
      </c>
      <c r="C23" s="2" t="s">
        <v>58</v>
      </c>
      <c r="D23" s="2" t="s">
        <v>51</v>
      </c>
      <c r="E23" s="2" t="s">
        <v>30</v>
      </c>
      <c r="F23" s="2" t="s">
        <v>29</v>
      </c>
      <c r="G23" s="9">
        <v>105833.49</v>
      </c>
      <c r="H23" s="5">
        <v>250116.4</v>
      </c>
      <c r="I23" s="4">
        <v>45621</v>
      </c>
      <c r="J23" s="2" t="s">
        <v>50</v>
      </c>
      <c r="K23" s="2" t="s">
        <v>49</v>
      </c>
      <c r="L23" s="3">
        <v>814</v>
      </c>
      <c r="M23" s="2" t="s">
        <v>26</v>
      </c>
    </row>
    <row r="24" spans="1:13" ht="18" customHeight="1" x14ac:dyDescent="0.3">
      <c r="A24" s="7" t="s">
        <v>126</v>
      </c>
      <c r="B24" s="7" t="s">
        <v>98</v>
      </c>
      <c r="C24" s="6" t="s">
        <v>55</v>
      </c>
      <c r="D24" s="6" t="s">
        <v>45</v>
      </c>
      <c r="E24" s="6" t="s">
        <v>21</v>
      </c>
      <c r="F24" s="6" t="s">
        <v>20</v>
      </c>
      <c r="G24" s="9">
        <v>104871.84</v>
      </c>
      <c r="H24" s="9">
        <v>70675.53</v>
      </c>
      <c r="I24" s="8">
        <v>45579</v>
      </c>
      <c r="J24" s="6" t="s">
        <v>44</v>
      </c>
      <c r="K24" s="6" t="s">
        <v>43</v>
      </c>
      <c r="L24" s="7">
        <v>714</v>
      </c>
      <c r="M24" s="6" t="s">
        <v>0</v>
      </c>
    </row>
    <row r="25" spans="1:13" ht="18" customHeight="1" x14ac:dyDescent="0.3">
      <c r="A25" s="3" t="s">
        <v>125</v>
      </c>
      <c r="B25" s="3" t="s">
        <v>96</v>
      </c>
      <c r="C25" s="2" t="s">
        <v>52</v>
      </c>
      <c r="D25" s="2" t="s">
        <v>39</v>
      </c>
      <c r="E25" s="2" t="s">
        <v>13</v>
      </c>
      <c r="F25" s="2" t="s">
        <v>12</v>
      </c>
      <c r="G25" s="5">
        <v>104640.43</v>
      </c>
      <c r="H25" s="5">
        <v>214788.48000000001</v>
      </c>
      <c r="I25" s="4">
        <v>45590</v>
      </c>
      <c r="J25" s="2" t="s">
        <v>36</v>
      </c>
      <c r="K25" s="2" t="s">
        <v>35</v>
      </c>
      <c r="L25" s="3">
        <v>784</v>
      </c>
      <c r="M25" s="2" t="s">
        <v>26</v>
      </c>
    </row>
    <row r="26" spans="1:13" ht="18" customHeight="1" x14ac:dyDescent="0.3">
      <c r="A26" s="7" t="s">
        <v>124</v>
      </c>
      <c r="B26" s="7" t="s">
        <v>94</v>
      </c>
      <c r="C26" s="6" t="s">
        <v>46</v>
      </c>
      <c r="D26" s="6" t="s">
        <v>31</v>
      </c>
      <c r="E26" s="6" t="s">
        <v>4</v>
      </c>
      <c r="F26" s="6" t="s">
        <v>3</v>
      </c>
      <c r="G26" s="9">
        <v>102849.83</v>
      </c>
      <c r="H26" s="9">
        <v>498665.56</v>
      </c>
      <c r="I26" s="8">
        <v>45362</v>
      </c>
      <c r="J26" s="6" t="s">
        <v>28</v>
      </c>
      <c r="K26" s="6" t="s">
        <v>27</v>
      </c>
      <c r="L26" s="7">
        <v>840</v>
      </c>
      <c r="M26" s="6" t="s">
        <v>26</v>
      </c>
    </row>
    <row r="27" spans="1:13" ht="18" customHeight="1" x14ac:dyDescent="0.3">
      <c r="A27" s="3" t="s">
        <v>123</v>
      </c>
      <c r="B27" s="3" t="s">
        <v>92</v>
      </c>
      <c r="C27" s="2" t="s">
        <v>40</v>
      </c>
      <c r="D27" s="2" t="s">
        <v>22</v>
      </c>
      <c r="E27" s="2" t="s">
        <v>38</v>
      </c>
      <c r="F27" s="2" t="s">
        <v>37</v>
      </c>
      <c r="G27" s="5">
        <v>102415.7</v>
      </c>
      <c r="H27" s="5">
        <v>378135.3</v>
      </c>
      <c r="I27" s="4">
        <v>45348</v>
      </c>
      <c r="J27" s="2" t="s">
        <v>19</v>
      </c>
      <c r="K27" s="2" t="s">
        <v>18</v>
      </c>
      <c r="L27" s="3">
        <v>658</v>
      </c>
      <c r="M27" s="2" t="s">
        <v>0</v>
      </c>
    </row>
    <row r="28" spans="1:13" ht="18" customHeight="1" x14ac:dyDescent="0.3">
      <c r="A28" s="7" t="s">
        <v>122</v>
      </c>
      <c r="B28" s="7" t="s">
        <v>89</v>
      </c>
      <c r="C28" s="6" t="s">
        <v>32</v>
      </c>
      <c r="D28" s="6" t="s">
        <v>14</v>
      </c>
      <c r="E28" s="6" t="s">
        <v>30</v>
      </c>
      <c r="F28" s="6" t="s">
        <v>29</v>
      </c>
      <c r="G28" s="9">
        <v>97995.66</v>
      </c>
      <c r="H28" s="9">
        <v>396247.6</v>
      </c>
      <c r="I28" s="8">
        <v>45508</v>
      </c>
      <c r="J28" s="6" t="s">
        <v>11</v>
      </c>
      <c r="K28" s="6" t="s">
        <v>10</v>
      </c>
      <c r="L28" s="7">
        <v>612</v>
      </c>
      <c r="M28" s="6" t="s">
        <v>0</v>
      </c>
    </row>
    <row r="29" spans="1:13" ht="18" customHeight="1" x14ac:dyDescent="0.3">
      <c r="A29" s="3" t="s">
        <v>121</v>
      </c>
      <c r="B29" s="3" t="s">
        <v>86</v>
      </c>
      <c r="C29" s="2" t="s">
        <v>23</v>
      </c>
      <c r="D29" s="2" t="s">
        <v>5</v>
      </c>
      <c r="E29" s="2" t="s">
        <v>21</v>
      </c>
      <c r="F29" s="2" t="s">
        <v>20</v>
      </c>
      <c r="G29" s="9">
        <v>94303.18</v>
      </c>
      <c r="H29" s="5">
        <v>298348.33</v>
      </c>
      <c r="I29" s="4">
        <v>45531</v>
      </c>
      <c r="J29" s="2" t="s">
        <v>2</v>
      </c>
      <c r="K29" s="2" t="s">
        <v>1</v>
      </c>
      <c r="L29" s="3">
        <v>850</v>
      </c>
      <c r="M29" s="2" t="s">
        <v>26</v>
      </c>
    </row>
    <row r="30" spans="1:13" ht="18" customHeight="1" x14ac:dyDescent="0.3">
      <c r="A30" s="7" t="s">
        <v>120</v>
      </c>
      <c r="B30" s="7" t="s">
        <v>83</v>
      </c>
      <c r="C30" s="6" t="s">
        <v>15</v>
      </c>
      <c r="D30" s="6" t="s">
        <v>51</v>
      </c>
      <c r="E30" s="6" t="s">
        <v>13</v>
      </c>
      <c r="F30" s="6" t="s">
        <v>12</v>
      </c>
      <c r="G30" s="9">
        <v>93097.54</v>
      </c>
      <c r="H30" s="9">
        <v>277059.71999999997</v>
      </c>
      <c r="I30" s="8">
        <v>45297</v>
      </c>
      <c r="J30" s="6" t="s">
        <v>50</v>
      </c>
      <c r="K30" s="6" t="s">
        <v>49</v>
      </c>
      <c r="L30" s="7">
        <v>638</v>
      </c>
      <c r="M30" s="6" t="s">
        <v>0</v>
      </c>
    </row>
    <row r="31" spans="1:13" ht="18" customHeight="1" x14ac:dyDescent="0.3">
      <c r="A31" s="3" t="s">
        <v>119</v>
      </c>
      <c r="B31" s="3" t="s">
        <v>80</v>
      </c>
      <c r="C31" s="2" t="s">
        <v>6</v>
      </c>
      <c r="D31" s="2" t="s">
        <v>45</v>
      </c>
      <c r="E31" s="2" t="s">
        <v>4</v>
      </c>
      <c r="F31" s="2" t="s">
        <v>3</v>
      </c>
      <c r="G31" s="9">
        <v>91565.09</v>
      </c>
      <c r="H31" s="5">
        <v>268948.19</v>
      </c>
      <c r="I31" s="4">
        <v>45428</v>
      </c>
      <c r="J31" s="2" t="s">
        <v>44</v>
      </c>
      <c r="K31" s="2" t="s">
        <v>43</v>
      </c>
      <c r="L31" s="3">
        <v>754</v>
      </c>
      <c r="M31" s="2" t="s">
        <v>26</v>
      </c>
    </row>
    <row r="32" spans="1:13" ht="18" customHeight="1" x14ac:dyDescent="0.3">
      <c r="A32" s="7" t="s">
        <v>118</v>
      </c>
      <c r="B32" s="7" t="s">
        <v>77</v>
      </c>
      <c r="C32" s="6" t="s">
        <v>91</v>
      </c>
      <c r="D32" s="6" t="s">
        <v>39</v>
      </c>
      <c r="E32" s="6" t="s">
        <v>38</v>
      </c>
      <c r="F32" s="6" t="s">
        <v>37</v>
      </c>
      <c r="G32" s="5">
        <v>90042.22</v>
      </c>
      <c r="H32" s="9">
        <v>217947.86</v>
      </c>
      <c r="I32" s="8">
        <v>45524</v>
      </c>
      <c r="J32" s="6" t="s">
        <v>36</v>
      </c>
      <c r="K32" s="6" t="s">
        <v>35</v>
      </c>
      <c r="L32" s="7">
        <v>581</v>
      </c>
      <c r="M32" s="6" t="s">
        <v>0</v>
      </c>
    </row>
    <row r="33" spans="1:13" ht="18" customHeight="1" x14ac:dyDescent="0.3">
      <c r="A33" s="3" t="s">
        <v>117</v>
      </c>
      <c r="B33" s="3" t="s">
        <v>74</v>
      </c>
      <c r="C33" s="2" t="s">
        <v>88</v>
      </c>
      <c r="D33" s="2" t="s">
        <v>31</v>
      </c>
      <c r="E33" s="2" t="s">
        <v>30</v>
      </c>
      <c r="F33" s="2" t="s">
        <v>29</v>
      </c>
      <c r="G33" s="9">
        <v>89457.75</v>
      </c>
      <c r="H33" s="5">
        <v>438050.62</v>
      </c>
      <c r="I33" s="4">
        <v>45426</v>
      </c>
      <c r="J33" s="2" t="s">
        <v>28</v>
      </c>
      <c r="K33" s="2" t="s">
        <v>27</v>
      </c>
      <c r="L33" s="3">
        <v>836</v>
      </c>
      <c r="M33" s="2" t="s">
        <v>26</v>
      </c>
    </row>
    <row r="34" spans="1:13" ht="18" customHeight="1" x14ac:dyDescent="0.3">
      <c r="A34" s="7" t="s">
        <v>116</v>
      </c>
      <c r="B34" s="7" t="s">
        <v>71</v>
      </c>
      <c r="C34" s="6" t="s">
        <v>85</v>
      </c>
      <c r="D34" s="6" t="s">
        <v>22</v>
      </c>
      <c r="E34" s="6" t="s">
        <v>21</v>
      </c>
      <c r="F34" s="6" t="s">
        <v>20</v>
      </c>
      <c r="G34" s="9">
        <v>88778.63</v>
      </c>
      <c r="H34" s="9">
        <v>254333.16</v>
      </c>
      <c r="I34" s="8">
        <v>45346</v>
      </c>
      <c r="J34" s="6" t="s">
        <v>19</v>
      </c>
      <c r="K34" s="6" t="s">
        <v>18</v>
      </c>
      <c r="L34" s="7">
        <v>732</v>
      </c>
      <c r="M34" s="6" t="s">
        <v>0</v>
      </c>
    </row>
    <row r="35" spans="1:13" ht="18" customHeight="1" x14ac:dyDescent="0.3">
      <c r="A35" s="3" t="s">
        <v>115</v>
      </c>
      <c r="B35" s="3" t="s">
        <v>68</v>
      </c>
      <c r="C35" s="2" t="s">
        <v>82</v>
      </c>
      <c r="D35" s="2" t="s">
        <v>14</v>
      </c>
      <c r="E35" s="2" t="s">
        <v>13</v>
      </c>
      <c r="F35" s="2" t="s">
        <v>12</v>
      </c>
      <c r="G35" s="5">
        <v>88471.8</v>
      </c>
      <c r="H35" s="5">
        <v>254323.78</v>
      </c>
      <c r="I35" s="4">
        <v>45393</v>
      </c>
      <c r="J35" s="2" t="s">
        <v>11</v>
      </c>
      <c r="K35" s="2" t="s">
        <v>10</v>
      </c>
      <c r="L35" s="3">
        <v>658</v>
      </c>
      <c r="M35" s="2" t="s">
        <v>0</v>
      </c>
    </row>
    <row r="36" spans="1:13" ht="18" customHeight="1" x14ac:dyDescent="0.3">
      <c r="A36" s="7" t="s">
        <v>114</v>
      </c>
      <c r="B36" s="7" t="s">
        <v>65</v>
      </c>
      <c r="C36" s="6" t="s">
        <v>79</v>
      </c>
      <c r="D36" s="6" t="s">
        <v>5</v>
      </c>
      <c r="E36" s="6" t="s">
        <v>4</v>
      </c>
      <c r="F36" s="6" t="s">
        <v>3</v>
      </c>
      <c r="G36" s="9">
        <v>81115.47</v>
      </c>
      <c r="H36" s="9">
        <v>81612.97</v>
      </c>
      <c r="I36" s="8">
        <v>45563</v>
      </c>
      <c r="J36" s="6" t="s">
        <v>2</v>
      </c>
      <c r="K36" s="6" t="s">
        <v>1</v>
      </c>
      <c r="L36" s="7">
        <v>580</v>
      </c>
      <c r="M36" s="6" t="s">
        <v>0</v>
      </c>
    </row>
    <row r="37" spans="1:13" ht="18" customHeight="1" x14ac:dyDescent="0.3">
      <c r="A37" s="3" t="s">
        <v>113</v>
      </c>
      <c r="B37" s="3" t="s">
        <v>62</v>
      </c>
      <c r="C37" s="2" t="s">
        <v>76</v>
      </c>
      <c r="D37" s="2" t="s">
        <v>51</v>
      </c>
      <c r="E37" s="2" t="s">
        <v>38</v>
      </c>
      <c r="F37" s="2" t="s">
        <v>37</v>
      </c>
      <c r="G37" s="5">
        <v>77366.34</v>
      </c>
      <c r="H37" s="5">
        <v>244814.25</v>
      </c>
      <c r="I37" s="4">
        <v>45349</v>
      </c>
      <c r="J37" s="2" t="s">
        <v>50</v>
      </c>
      <c r="K37" s="2" t="s">
        <v>49</v>
      </c>
      <c r="L37" s="3">
        <v>765</v>
      </c>
      <c r="M37" s="2" t="s">
        <v>26</v>
      </c>
    </row>
    <row r="38" spans="1:13" ht="18" customHeight="1" x14ac:dyDescent="0.3">
      <c r="A38" s="7" t="s">
        <v>112</v>
      </c>
      <c r="B38" s="7" t="s">
        <v>59</v>
      </c>
      <c r="C38" s="6" t="s">
        <v>73</v>
      </c>
      <c r="D38" s="6" t="s">
        <v>45</v>
      </c>
      <c r="E38" s="6" t="s">
        <v>30</v>
      </c>
      <c r="F38" s="6" t="s">
        <v>29</v>
      </c>
      <c r="G38" s="9">
        <v>75676.13</v>
      </c>
      <c r="H38" s="9">
        <v>416001.1</v>
      </c>
      <c r="I38" s="8">
        <v>45449</v>
      </c>
      <c r="J38" s="6" t="s">
        <v>44</v>
      </c>
      <c r="K38" s="6" t="s">
        <v>43</v>
      </c>
      <c r="L38" s="7">
        <v>702</v>
      </c>
      <c r="M38" s="6" t="s">
        <v>0</v>
      </c>
    </row>
    <row r="39" spans="1:13" ht="18" customHeight="1" x14ac:dyDescent="0.3">
      <c r="A39" s="3" t="s">
        <v>111</v>
      </c>
      <c r="B39" s="3" t="s">
        <v>56</v>
      </c>
      <c r="C39" s="2" t="s">
        <v>70</v>
      </c>
      <c r="D39" s="2" t="s">
        <v>39</v>
      </c>
      <c r="E39" s="2" t="s">
        <v>21</v>
      </c>
      <c r="F39" s="2" t="s">
        <v>20</v>
      </c>
      <c r="G39" s="5">
        <v>74280.62</v>
      </c>
      <c r="H39" s="5">
        <v>439126.79</v>
      </c>
      <c r="I39" s="4">
        <v>45332</v>
      </c>
      <c r="J39" s="2" t="s">
        <v>36</v>
      </c>
      <c r="K39" s="2" t="s">
        <v>35</v>
      </c>
      <c r="L39" s="3">
        <v>623</v>
      </c>
      <c r="M39" s="2" t="s">
        <v>0</v>
      </c>
    </row>
    <row r="40" spans="1:13" ht="18" customHeight="1" x14ac:dyDescent="0.3">
      <c r="A40" s="7" t="s">
        <v>110</v>
      </c>
      <c r="B40" s="7" t="s">
        <v>53</v>
      </c>
      <c r="C40" s="6" t="s">
        <v>67</v>
      </c>
      <c r="D40" s="6" t="s">
        <v>31</v>
      </c>
      <c r="E40" s="6" t="s">
        <v>13</v>
      </c>
      <c r="F40" s="6" t="s">
        <v>12</v>
      </c>
      <c r="G40" s="9">
        <v>73103.350000000006</v>
      </c>
      <c r="H40" s="9">
        <v>408195.6</v>
      </c>
      <c r="I40" s="8">
        <v>45564</v>
      </c>
      <c r="J40" s="6" t="s">
        <v>28</v>
      </c>
      <c r="K40" s="6" t="s">
        <v>27</v>
      </c>
      <c r="L40" s="7">
        <v>644</v>
      </c>
      <c r="M40" s="6" t="s">
        <v>0</v>
      </c>
    </row>
    <row r="41" spans="1:13" ht="18" customHeight="1" x14ac:dyDescent="0.3">
      <c r="A41" s="3" t="s">
        <v>109</v>
      </c>
      <c r="B41" s="3" t="s">
        <v>47</v>
      </c>
      <c r="C41" s="2" t="s">
        <v>64</v>
      </c>
      <c r="D41" s="2" t="s">
        <v>22</v>
      </c>
      <c r="E41" s="2" t="s">
        <v>4</v>
      </c>
      <c r="F41" s="2" t="s">
        <v>3</v>
      </c>
      <c r="G41" s="5">
        <v>69607.899999999994</v>
      </c>
      <c r="H41" s="5">
        <v>238165.91</v>
      </c>
      <c r="I41" s="4">
        <v>45573</v>
      </c>
      <c r="J41" s="2" t="s">
        <v>19</v>
      </c>
      <c r="K41" s="2" t="s">
        <v>18</v>
      </c>
      <c r="L41" s="3">
        <v>664</v>
      </c>
      <c r="M41" s="2" t="s">
        <v>0</v>
      </c>
    </row>
    <row r="42" spans="1:13" ht="18" customHeight="1" x14ac:dyDescent="0.3">
      <c r="A42" s="7" t="s">
        <v>108</v>
      </c>
      <c r="B42" s="7" t="s">
        <v>41</v>
      </c>
      <c r="C42" s="6" t="s">
        <v>61</v>
      </c>
      <c r="D42" s="6" t="s">
        <v>14</v>
      </c>
      <c r="E42" s="6" t="s">
        <v>38</v>
      </c>
      <c r="F42" s="6" t="s">
        <v>37</v>
      </c>
      <c r="G42" s="5">
        <v>67656.75</v>
      </c>
      <c r="H42" s="9">
        <v>436344.09</v>
      </c>
      <c r="I42" s="8">
        <v>45508</v>
      </c>
      <c r="J42" s="6" t="s">
        <v>11</v>
      </c>
      <c r="K42" s="6" t="s">
        <v>10</v>
      </c>
      <c r="L42" s="7">
        <v>688</v>
      </c>
      <c r="M42" s="6" t="s">
        <v>0</v>
      </c>
    </row>
    <row r="43" spans="1:13" ht="18" customHeight="1" x14ac:dyDescent="0.3">
      <c r="A43" s="3" t="s">
        <v>107</v>
      </c>
      <c r="B43" s="3" t="s">
        <v>33</v>
      </c>
      <c r="C43" s="2" t="s">
        <v>58</v>
      </c>
      <c r="D43" s="2" t="s">
        <v>5</v>
      </c>
      <c r="E43" s="2" t="s">
        <v>30</v>
      </c>
      <c r="F43" s="2" t="s">
        <v>29</v>
      </c>
      <c r="G43" s="5">
        <v>65995.960000000006</v>
      </c>
      <c r="H43" s="5">
        <v>377877.33</v>
      </c>
      <c r="I43" s="4">
        <v>45645</v>
      </c>
      <c r="J43" s="2" t="s">
        <v>2</v>
      </c>
      <c r="K43" s="2" t="s">
        <v>1</v>
      </c>
      <c r="L43" s="3">
        <v>682</v>
      </c>
      <c r="M43" s="2" t="s">
        <v>0</v>
      </c>
    </row>
    <row r="44" spans="1:13" ht="18" customHeight="1" x14ac:dyDescent="0.3">
      <c r="A44" s="7" t="s">
        <v>106</v>
      </c>
      <c r="B44" s="7" t="s">
        <v>24</v>
      </c>
      <c r="C44" s="6" t="s">
        <v>55</v>
      </c>
      <c r="D44" s="6" t="s">
        <v>51</v>
      </c>
      <c r="E44" s="6" t="s">
        <v>21</v>
      </c>
      <c r="F44" s="6" t="s">
        <v>20</v>
      </c>
      <c r="G44" s="5">
        <v>61959.79</v>
      </c>
      <c r="H44" s="9">
        <v>200097.16</v>
      </c>
      <c r="I44" s="8">
        <v>45635</v>
      </c>
      <c r="J44" s="6" t="s">
        <v>50</v>
      </c>
      <c r="K44" s="6" t="s">
        <v>49</v>
      </c>
      <c r="L44" s="7">
        <v>771</v>
      </c>
      <c r="M44" s="6" t="s">
        <v>26</v>
      </c>
    </row>
    <row r="45" spans="1:13" ht="18" customHeight="1" x14ac:dyDescent="0.3">
      <c r="A45" s="3" t="s">
        <v>105</v>
      </c>
      <c r="B45" s="3" t="s">
        <v>16</v>
      </c>
      <c r="C45" s="2" t="s">
        <v>52</v>
      </c>
      <c r="D45" s="2" t="s">
        <v>45</v>
      </c>
      <c r="E45" s="2" t="s">
        <v>13</v>
      </c>
      <c r="F45" s="2" t="s">
        <v>12</v>
      </c>
      <c r="G45" s="5">
        <v>58022.71</v>
      </c>
      <c r="H45" s="5">
        <v>259270.34</v>
      </c>
      <c r="I45" s="4">
        <v>45353</v>
      </c>
      <c r="J45" s="2" t="s">
        <v>44</v>
      </c>
      <c r="K45" s="2" t="s">
        <v>43</v>
      </c>
      <c r="L45" s="3">
        <v>706</v>
      </c>
      <c r="M45" s="2" t="s">
        <v>0</v>
      </c>
    </row>
    <row r="46" spans="1:13" ht="18" customHeight="1" x14ac:dyDescent="0.3">
      <c r="A46" s="7" t="s">
        <v>104</v>
      </c>
      <c r="B46" s="7" t="s">
        <v>7</v>
      </c>
      <c r="C46" s="6" t="s">
        <v>46</v>
      </c>
      <c r="D46" s="6" t="s">
        <v>39</v>
      </c>
      <c r="E46" s="6" t="s">
        <v>4</v>
      </c>
      <c r="F46" s="6" t="s">
        <v>3</v>
      </c>
      <c r="G46" s="9">
        <v>56400.12</v>
      </c>
      <c r="H46" s="9">
        <v>169704.7</v>
      </c>
      <c r="I46" s="8">
        <v>45593</v>
      </c>
      <c r="J46" s="6" t="s">
        <v>36</v>
      </c>
      <c r="K46" s="6" t="s">
        <v>35</v>
      </c>
      <c r="L46" s="7">
        <v>697</v>
      </c>
      <c r="M46" s="6" t="s">
        <v>0</v>
      </c>
    </row>
    <row r="47" spans="1:13" ht="18" customHeight="1" x14ac:dyDescent="0.3">
      <c r="A47" s="3" t="s">
        <v>103</v>
      </c>
      <c r="B47" s="3" t="s">
        <v>102</v>
      </c>
      <c r="C47" s="2" t="s">
        <v>40</v>
      </c>
      <c r="D47" s="2" t="s">
        <v>31</v>
      </c>
      <c r="E47" s="2" t="s">
        <v>38</v>
      </c>
      <c r="F47" s="2" t="s">
        <v>37</v>
      </c>
      <c r="G47" s="5">
        <v>55842.05</v>
      </c>
      <c r="H47" s="5">
        <v>4588.2299999999996</v>
      </c>
      <c r="I47" s="4">
        <v>45654</v>
      </c>
      <c r="J47" s="2" t="s">
        <v>28</v>
      </c>
      <c r="K47" s="2" t="s">
        <v>27</v>
      </c>
      <c r="L47" s="3">
        <v>610</v>
      </c>
      <c r="M47" s="2" t="s">
        <v>0</v>
      </c>
    </row>
    <row r="48" spans="1:13" ht="18" customHeight="1" x14ac:dyDescent="0.3">
      <c r="A48" s="7" t="s">
        <v>101</v>
      </c>
      <c r="B48" s="7" t="s">
        <v>100</v>
      </c>
      <c r="C48" s="6" t="s">
        <v>32</v>
      </c>
      <c r="D48" s="6" t="s">
        <v>22</v>
      </c>
      <c r="E48" s="6" t="s">
        <v>30</v>
      </c>
      <c r="F48" s="6" t="s">
        <v>29</v>
      </c>
      <c r="G48" s="9">
        <v>54618.47</v>
      </c>
      <c r="H48" s="9">
        <v>452804.59</v>
      </c>
      <c r="I48" s="8">
        <v>45461</v>
      </c>
      <c r="J48" s="6" t="s">
        <v>19</v>
      </c>
      <c r="K48" s="6" t="s">
        <v>18</v>
      </c>
      <c r="L48" s="7">
        <v>616</v>
      </c>
      <c r="M48" s="6" t="s">
        <v>0</v>
      </c>
    </row>
    <row r="49" spans="1:18" ht="18" customHeight="1" x14ac:dyDescent="0.3">
      <c r="A49" s="3" t="s">
        <v>99</v>
      </c>
      <c r="B49" s="3" t="s">
        <v>98</v>
      </c>
      <c r="C49" s="2" t="s">
        <v>23</v>
      </c>
      <c r="D49" s="2" t="s">
        <v>14</v>
      </c>
      <c r="E49" s="2" t="s">
        <v>21</v>
      </c>
      <c r="F49" s="2" t="s">
        <v>20</v>
      </c>
      <c r="G49" s="5">
        <v>47797.29</v>
      </c>
      <c r="H49" s="5">
        <v>139960.15</v>
      </c>
      <c r="I49" s="4">
        <v>45540</v>
      </c>
      <c r="J49" s="2" t="s">
        <v>11</v>
      </c>
      <c r="K49" s="2" t="s">
        <v>10</v>
      </c>
      <c r="L49" s="3">
        <v>689</v>
      </c>
      <c r="M49" s="2" t="s">
        <v>0</v>
      </c>
    </row>
    <row r="50" spans="1:18" ht="18" customHeight="1" x14ac:dyDescent="0.3">
      <c r="A50" s="7" t="s">
        <v>97</v>
      </c>
      <c r="B50" s="7" t="s">
        <v>96</v>
      </c>
      <c r="C50" s="6" t="s">
        <v>15</v>
      </c>
      <c r="D50" s="6" t="s">
        <v>5</v>
      </c>
      <c r="E50" s="6" t="s">
        <v>13</v>
      </c>
      <c r="F50" s="6" t="s">
        <v>12</v>
      </c>
      <c r="G50" s="9">
        <v>42057.05</v>
      </c>
      <c r="H50" s="9">
        <v>361952.93</v>
      </c>
      <c r="I50" s="8">
        <v>45584</v>
      </c>
      <c r="J50" s="6" t="s">
        <v>2</v>
      </c>
      <c r="K50" s="6" t="s">
        <v>1</v>
      </c>
      <c r="L50" s="7">
        <v>822</v>
      </c>
      <c r="M50" s="6" t="s">
        <v>26</v>
      </c>
    </row>
    <row r="51" spans="1:18" ht="18" customHeight="1" x14ac:dyDescent="0.3">
      <c r="A51" s="3" t="s">
        <v>95</v>
      </c>
      <c r="B51" s="3" t="s">
        <v>94</v>
      </c>
      <c r="C51" s="2" t="s">
        <v>6</v>
      </c>
      <c r="D51" s="2" t="s">
        <v>51</v>
      </c>
      <c r="E51" s="2" t="s">
        <v>4</v>
      </c>
      <c r="F51" s="2" t="s">
        <v>3</v>
      </c>
      <c r="G51" s="9">
        <v>40125.97</v>
      </c>
      <c r="H51" s="5">
        <v>237013.5</v>
      </c>
      <c r="I51" s="4">
        <v>45500</v>
      </c>
      <c r="J51" s="2" t="s">
        <v>50</v>
      </c>
      <c r="K51" s="2" t="s">
        <v>49</v>
      </c>
      <c r="L51" s="3">
        <v>677</v>
      </c>
      <c r="M51" s="2" t="s">
        <v>0</v>
      </c>
    </row>
    <row r="52" spans="1:18" ht="18" customHeight="1" x14ac:dyDescent="0.3">
      <c r="A52" s="7" t="s">
        <v>93</v>
      </c>
      <c r="B52" s="7" t="s">
        <v>92</v>
      </c>
      <c r="C52" s="6" t="s">
        <v>91</v>
      </c>
      <c r="D52" s="6" t="s">
        <v>45</v>
      </c>
      <c r="E52" s="6" t="s">
        <v>38</v>
      </c>
      <c r="F52" s="6" t="s">
        <v>37</v>
      </c>
      <c r="G52" s="9">
        <v>38086.410000000003</v>
      </c>
      <c r="H52" s="9">
        <v>329832.39</v>
      </c>
      <c r="I52" s="8">
        <v>45473</v>
      </c>
      <c r="J52" s="6" t="s">
        <v>44</v>
      </c>
      <c r="K52" s="6" t="s">
        <v>43</v>
      </c>
      <c r="L52" s="7">
        <v>796</v>
      </c>
      <c r="M52" s="6" t="s">
        <v>26</v>
      </c>
    </row>
    <row r="53" spans="1:18" ht="18" customHeight="1" x14ac:dyDescent="0.3">
      <c r="A53" s="3" t="s">
        <v>90</v>
      </c>
      <c r="B53" s="3" t="s">
        <v>89</v>
      </c>
      <c r="C53" s="2" t="s">
        <v>88</v>
      </c>
      <c r="D53" s="2" t="s">
        <v>39</v>
      </c>
      <c r="E53" s="2" t="s">
        <v>30</v>
      </c>
      <c r="F53" s="2" t="s">
        <v>29</v>
      </c>
      <c r="G53" s="5">
        <v>36828.089999999997</v>
      </c>
      <c r="H53" s="5">
        <v>432054.54</v>
      </c>
      <c r="I53" s="4">
        <v>45319</v>
      </c>
      <c r="J53" s="2" t="s">
        <v>36</v>
      </c>
      <c r="K53" s="2" t="s">
        <v>35</v>
      </c>
      <c r="L53" s="3">
        <v>630</v>
      </c>
      <c r="M53" s="2" t="s">
        <v>0</v>
      </c>
    </row>
    <row r="54" spans="1:18" ht="18" customHeight="1" x14ac:dyDescent="0.3">
      <c r="A54" s="7" t="s">
        <v>87</v>
      </c>
      <c r="B54" s="7" t="s">
        <v>86</v>
      </c>
      <c r="C54" s="6" t="s">
        <v>85</v>
      </c>
      <c r="D54" s="6" t="s">
        <v>31</v>
      </c>
      <c r="E54" s="6" t="s">
        <v>21</v>
      </c>
      <c r="F54" s="6" t="s">
        <v>20</v>
      </c>
      <c r="G54" s="5">
        <v>35282.800000000003</v>
      </c>
      <c r="H54" s="9">
        <v>364378.58</v>
      </c>
      <c r="I54" s="8">
        <v>45347</v>
      </c>
      <c r="J54" s="6" t="s">
        <v>28</v>
      </c>
      <c r="K54" s="6" t="s">
        <v>27</v>
      </c>
      <c r="L54" s="7">
        <v>707</v>
      </c>
      <c r="M54" s="6" t="s">
        <v>0</v>
      </c>
    </row>
    <row r="55" spans="1:18" ht="18" customHeight="1" x14ac:dyDescent="0.3">
      <c r="A55" s="3" t="s">
        <v>84</v>
      </c>
      <c r="B55" s="3" t="s">
        <v>83</v>
      </c>
      <c r="C55" s="2" t="s">
        <v>82</v>
      </c>
      <c r="D55" s="2" t="s">
        <v>22</v>
      </c>
      <c r="E55" s="2" t="s">
        <v>13</v>
      </c>
      <c r="F55" s="2" t="s">
        <v>12</v>
      </c>
      <c r="G55" s="9">
        <v>34726.800000000003</v>
      </c>
      <c r="H55" s="5">
        <v>268606.59000000003</v>
      </c>
      <c r="I55" s="4">
        <v>45363</v>
      </c>
      <c r="J55" s="2" t="s">
        <v>19</v>
      </c>
      <c r="K55" s="2" t="s">
        <v>18</v>
      </c>
      <c r="L55" s="3">
        <v>796</v>
      </c>
      <c r="M55" s="2" t="s">
        <v>26</v>
      </c>
      <c r="R55">
        <f ca="1">NETWORKDAYS(I52,TODAY())</f>
        <v>528</v>
      </c>
    </row>
    <row r="56" spans="1:18" ht="18" customHeight="1" x14ac:dyDescent="0.3">
      <c r="A56" s="7" t="s">
        <v>81</v>
      </c>
      <c r="B56" s="7" t="s">
        <v>80</v>
      </c>
      <c r="C56" s="6" t="s">
        <v>79</v>
      </c>
      <c r="D56" s="6" t="s">
        <v>14</v>
      </c>
      <c r="E56" s="6" t="s">
        <v>4</v>
      </c>
      <c r="F56" s="6" t="s">
        <v>3</v>
      </c>
      <c r="G56" s="9">
        <v>34092.25</v>
      </c>
      <c r="H56" s="9">
        <v>231851.41</v>
      </c>
      <c r="I56" s="8">
        <v>45330</v>
      </c>
      <c r="J56" s="6" t="s">
        <v>11</v>
      </c>
      <c r="K56" s="6" t="s">
        <v>10</v>
      </c>
      <c r="L56" s="7">
        <v>806</v>
      </c>
      <c r="M56" s="6" t="s">
        <v>26</v>
      </c>
    </row>
    <row r="57" spans="1:18" ht="18" customHeight="1" x14ac:dyDescent="0.3">
      <c r="A57" s="3" t="s">
        <v>78</v>
      </c>
      <c r="B57" s="3" t="s">
        <v>77</v>
      </c>
      <c r="C57" s="2" t="s">
        <v>76</v>
      </c>
      <c r="D57" s="2" t="s">
        <v>5</v>
      </c>
      <c r="E57" s="2" t="s">
        <v>38</v>
      </c>
      <c r="F57" s="2" t="s">
        <v>37</v>
      </c>
      <c r="G57" s="5">
        <v>33870.01</v>
      </c>
      <c r="H57" s="5">
        <v>428127.48</v>
      </c>
      <c r="I57" s="4">
        <v>45342</v>
      </c>
      <c r="J57" s="2" t="s">
        <v>2</v>
      </c>
      <c r="K57" s="2" t="s">
        <v>1</v>
      </c>
      <c r="L57" s="3">
        <v>605</v>
      </c>
      <c r="M57" s="2" t="s">
        <v>0</v>
      </c>
    </row>
    <row r="58" spans="1:18" ht="18" customHeight="1" x14ac:dyDescent="0.3">
      <c r="A58" s="7" t="s">
        <v>75</v>
      </c>
      <c r="B58" s="7" t="s">
        <v>74</v>
      </c>
      <c r="C58" s="6" t="s">
        <v>73</v>
      </c>
      <c r="D58" s="6" t="s">
        <v>51</v>
      </c>
      <c r="E58" s="6" t="s">
        <v>30</v>
      </c>
      <c r="F58" s="6" t="s">
        <v>29</v>
      </c>
      <c r="G58" s="5">
        <v>32287.67</v>
      </c>
      <c r="H58" s="9">
        <v>270753.38</v>
      </c>
      <c r="I58" s="8">
        <v>45299</v>
      </c>
      <c r="J58" s="6" t="s">
        <v>50</v>
      </c>
      <c r="K58" s="6" t="s">
        <v>49</v>
      </c>
      <c r="L58" s="7">
        <v>627</v>
      </c>
      <c r="M58" s="6" t="s">
        <v>0</v>
      </c>
    </row>
    <row r="59" spans="1:18" ht="18" customHeight="1" x14ac:dyDescent="0.3">
      <c r="A59" s="3" t="s">
        <v>72</v>
      </c>
      <c r="B59" s="3" t="s">
        <v>71</v>
      </c>
      <c r="C59" s="2" t="s">
        <v>70</v>
      </c>
      <c r="D59" s="2" t="s">
        <v>45</v>
      </c>
      <c r="E59" s="2" t="s">
        <v>21</v>
      </c>
      <c r="F59" s="2" t="s">
        <v>20</v>
      </c>
      <c r="G59" s="5">
        <v>29142.720000000001</v>
      </c>
      <c r="H59" s="5">
        <v>424499.17</v>
      </c>
      <c r="I59" s="4">
        <v>45377</v>
      </c>
      <c r="J59" s="2" t="s">
        <v>44</v>
      </c>
      <c r="K59" s="2" t="s">
        <v>43</v>
      </c>
      <c r="L59" s="3">
        <v>788</v>
      </c>
      <c r="M59" s="2" t="s">
        <v>26</v>
      </c>
    </row>
    <row r="60" spans="1:18" ht="18" customHeight="1" x14ac:dyDescent="0.3">
      <c r="A60" s="7" t="s">
        <v>69</v>
      </c>
      <c r="B60" s="7" t="s">
        <v>68</v>
      </c>
      <c r="C60" s="6" t="s">
        <v>67</v>
      </c>
      <c r="D60" s="6" t="s">
        <v>39</v>
      </c>
      <c r="E60" s="6" t="s">
        <v>13</v>
      </c>
      <c r="F60" s="6" t="s">
        <v>12</v>
      </c>
      <c r="G60" s="9">
        <v>27931.46</v>
      </c>
      <c r="H60" s="9">
        <v>107659.9</v>
      </c>
      <c r="I60" s="8">
        <v>45497</v>
      </c>
      <c r="J60" s="6" t="s">
        <v>36</v>
      </c>
      <c r="K60" s="6" t="s">
        <v>35</v>
      </c>
      <c r="L60" s="7">
        <v>610</v>
      </c>
      <c r="M60" s="6" t="s">
        <v>0</v>
      </c>
    </row>
    <row r="61" spans="1:18" ht="18" customHeight="1" x14ac:dyDescent="0.3">
      <c r="A61" s="3" t="s">
        <v>66</v>
      </c>
      <c r="B61" s="3" t="s">
        <v>65</v>
      </c>
      <c r="C61" s="2" t="s">
        <v>64</v>
      </c>
      <c r="D61" s="2" t="s">
        <v>31</v>
      </c>
      <c r="E61" s="2" t="s">
        <v>4</v>
      </c>
      <c r="F61" s="2" t="s">
        <v>3</v>
      </c>
      <c r="G61" s="5">
        <v>25113.25</v>
      </c>
      <c r="H61" s="5">
        <v>2075.5300000000002</v>
      </c>
      <c r="I61" s="4">
        <v>45491</v>
      </c>
      <c r="J61" s="2" t="s">
        <v>28</v>
      </c>
      <c r="K61" s="2" t="s">
        <v>27</v>
      </c>
      <c r="L61" s="3">
        <v>715</v>
      </c>
      <c r="M61" s="2" t="s">
        <v>0</v>
      </c>
    </row>
    <row r="62" spans="1:18" ht="18" customHeight="1" x14ac:dyDescent="0.3">
      <c r="A62" s="7" t="s">
        <v>63</v>
      </c>
      <c r="B62" s="7" t="s">
        <v>62</v>
      </c>
      <c r="C62" s="6" t="s">
        <v>61</v>
      </c>
      <c r="D62" s="6" t="s">
        <v>22</v>
      </c>
      <c r="E62" s="6" t="s">
        <v>38</v>
      </c>
      <c r="F62" s="6" t="s">
        <v>37</v>
      </c>
      <c r="G62" s="9">
        <v>23642.13</v>
      </c>
      <c r="H62" s="9">
        <v>392779.55</v>
      </c>
      <c r="I62" s="8">
        <v>45438</v>
      </c>
      <c r="J62" s="6" t="s">
        <v>19</v>
      </c>
      <c r="K62" s="6" t="s">
        <v>18</v>
      </c>
      <c r="L62" s="7">
        <v>796</v>
      </c>
      <c r="M62" s="6" t="s">
        <v>26</v>
      </c>
    </row>
    <row r="63" spans="1:18" ht="18" customHeight="1" x14ac:dyDescent="0.3">
      <c r="A63" s="3" t="s">
        <v>60</v>
      </c>
      <c r="B63" s="3" t="s">
        <v>59</v>
      </c>
      <c r="C63" s="2" t="s">
        <v>58</v>
      </c>
      <c r="D63" s="2" t="s">
        <v>14</v>
      </c>
      <c r="E63" s="2" t="s">
        <v>30</v>
      </c>
      <c r="F63" s="2" t="s">
        <v>29</v>
      </c>
      <c r="G63" s="9">
        <v>21859.3</v>
      </c>
      <c r="H63" s="5">
        <v>365522.15</v>
      </c>
      <c r="I63" s="4">
        <v>45576</v>
      </c>
      <c r="J63" s="2" t="s">
        <v>11</v>
      </c>
      <c r="K63" s="2" t="s">
        <v>10</v>
      </c>
      <c r="L63" s="3">
        <v>829</v>
      </c>
      <c r="M63" s="2" t="s">
        <v>26</v>
      </c>
    </row>
    <row r="64" spans="1:18" ht="18" customHeight="1" x14ac:dyDescent="0.3">
      <c r="A64" s="7" t="s">
        <v>57</v>
      </c>
      <c r="B64" s="7" t="s">
        <v>56</v>
      </c>
      <c r="C64" s="6" t="s">
        <v>55</v>
      </c>
      <c r="D64" s="6" t="s">
        <v>5</v>
      </c>
      <c r="E64" s="6" t="s">
        <v>21</v>
      </c>
      <c r="F64" s="6" t="s">
        <v>20</v>
      </c>
      <c r="G64" s="5">
        <v>19694.52</v>
      </c>
      <c r="H64" s="9">
        <v>149057.20000000001</v>
      </c>
      <c r="I64" s="8">
        <v>45321</v>
      </c>
      <c r="J64" s="6" t="s">
        <v>2</v>
      </c>
      <c r="K64" s="6" t="s">
        <v>1</v>
      </c>
      <c r="L64" s="7">
        <v>611</v>
      </c>
      <c r="M64" s="6" t="s">
        <v>0</v>
      </c>
    </row>
    <row r="65" spans="1:13" ht="18" customHeight="1" x14ac:dyDescent="0.3">
      <c r="A65" s="3" t="s">
        <v>54</v>
      </c>
      <c r="B65" s="3" t="s">
        <v>53</v>
      </c>
      <c r="C65" s="2" t="s">
        <v>52</v>
      </c>
      <c r="D65" s="2" t="s">
        <v>51</v>
      </c>
      <c r="E65" s="2" t="s">
        <v>13</v>
      </c>
      <c r="F65" s="2" t="s">
        <v>12</v>
      </c>
      <c r="G65" s="5">
        <v>18423.05</v>
      </c>
      <c r="H65" s="5">
        <v>29525.47</v>
      </c>
      <c r="I65" s="4">
        <v>45591</v>
      </c>
      <c r="J65" s="2" t="s">
        <v>50</v>
      </c>
      <c r="K65" s="2" t="s">
        <v>49</v>
      </c>
      <c r="L65" s="3">
        <v>824</v>
      </c>
      <c r="M65" s="2" t="s">
        <v>26</v>
      </c>
    </row>
    <row r="66" spans="1:13" ht="18" customHeight="1" x14ac:dyDescent="0.3">
      <c r="A66" s="7" t="s">
        <v>48</v>
      </c>
      <c r="B66" s="7" t="s">
        <v>47</v>
      </c>
      <c r="C66" s="6" t="s">
        <v>46</v>
      </c>
      <c r="D66" s="6" t="s">
        <v>45</v>
      </c>
      <c r="E66" s="6" t="s">
        <v>4</v>
      </c>
      <c r="F66" s="6" t="s">
        <v>3</v>
      </c>
      <c r="G66" s="9">
        <v>17177.05</v>
      </c>
      <c r="H66" s="9">
        <v>426507.23</v>
      </c>
      <c r="I66" s="8">
        <v>45372</v>
      </c>
      <c r="J66" s="6" t="s">
        <v>44</v>
      </c>
      <c r="K66" s="6" t="s">
        <v>43</v>
      </c>
      <c r="L66" s="7">
        <v>609</v>
      </c>
      <c r="M66" s="6" t="s">
        <v>0</v>
      </c>
    </row>
    <row r="67" spans="1:13" ht="18" customHeight="1" x14ac:dyDescent="0.3">
      <c r="A67" s="3" t="s">
        <v>42</v>
      </c>
      <c r="B67" s="3" t="s">
        <v>41</v>
      </c>
      <c r="C67" s="2" t="s">
        <v>40</v>
      </c>
      <c r="D67" s="2" t="s">
        <v>39</v>
      </c>
      <c r="E67" s="2" t="s">
        <v>38</v>
      </c>
      <c r="F67" s="2" t="s">
        <v>37</v>
      </c>
      <c r="G67" s="9">
        <v>14959.1</v>
      </c>
      <c r="H67" s="5">
        <v>40975.620000000003</v>
      </c>
      <c r="I67" s="4">
        <v>45387</v>
      </c>
      <c r="J67" s="2" t="s">
        <v>36</v>
      </c>
      <c r="K67" s="2" t="s">
        <v>35</v>
      </c>
      <c r="L67" s="3">
        <v>615</v>
      </c>
      <c r="M67" s="2" t="s">
        <v>0</v>
      </c>
    </row>
    <row r="68" spans="1:13" ht="18" customHeight="1" x14ac:dyDescent="0.3">
      <c r="A68" s="7" t="s">
        <v>34</v>
      </c>
      <c r="B68" s="7" t="s">
        <v>33</v>
      </c>
      <c r="C68" s="6" t="s">
        <v>32</v>
      </c>
      <c r="D68" s="6" t="s">
        <v>31</v>
      </c>
      <c r="E68" s="6" t="s">
        <v>30</v>
      </c>
      <c r="F68" s="6" t="s">
        <v>29</v>
      </c>
      <c r="G68" s="9">
        <v>14601.71</v>
      </c>
      <c r="H68" s="9">
        <v>337931.06</v>
      </c>
      <c r="I68" s="8">
        <v>45412</v>
      </c>
      <c r="J68" s="6" t="s">
        <v>28</v>
      </c>
      <c r="K68" s="6" t="s">
        <v>27</v>
      </c>
      <c r="L68" s="7">
        <v>786</v>
      </c>
      <c r="M68" s="6" t="s">
        <v>26</v>
      </c>
    </row>
    <row r="69" spans="1:13" ht="18" customHeight="1" x14ac:dyDescent="0.3">
      <c r="A69" s="3" t="s">
        <v>25</v>
      </c>
      <c r="B69" s="3" t="s">
        <v>24</v>
      </c>
      <c r="C69" s="2" t="s">
        <v>23</v>
      </c>
      <c r="D69" s="2" t="s">
        <v>22</v>
      </c>
      <c r="E69" s="2" t="s">
        <v>21</v>
      </c>
      <c r="F69" s="2" t="s">
        <v>20</v>
      </c>
      <c r="G69" s="9">
        <v>10395.200000000001</v>
      </c>
      <c r="H69" s="5">
        <v>445253.37</v>
      </c>
      <c r="I69" s="4">
        <v>45418</v>
      </c>
      <c r="J69" s="2" t="s">
        <v>19</v>
      </c>
      <c r="K69" s="2" t="s">
        <v>18</v>
      </c>
      <c r="L69" s="3">
        <v>600</v>
      </c>
      <c r="M69" s="2" t="s">
        <v>0</v>
      </c>
    </row>
    <row r="70" spans="1:13" ht="18" customHeight="1" x14ac:dyDescent="0.3">
      <c r="A70" s="7" t="s">
        <v>17</v>
      </c>
      <c r="B70" s="7" t="s">
        <v>16</v>
      </c>
      <c r="C70" s="6" t="s">
        <v>15</v>
      </c>
      <c r="D70" s="6" t="s">
        <v>14</v>
      </c>
      <c r="E70" s="6" t="s">
        <v>13</v>
      </c>
      <c r="F70" s="6" t="s">
        <v>12</v>
      </c>
      <c r="G70" s="9">
        <v>9561.59</v>
      </c>
      <c r="H70" s="9">
        <v>210193.23</v>
      </c>
      <c r="I70" s="8">
        <v>45590</v>
      </c>
      <c r="J70" s="6" t="s">
        <v>11</v>
      </c>
      <c r="K70" s="6" t="s">
        <v>10</v>
      </c>
      <c r="L70" s="7">
        <v>847</v>
      </c>
      <c r="M70" s="6" t="s">
        <v>9</v>
      </c>
    </row>
    <row r="71" spans="1:13" ht="18" customHeight="1" x14ac:dyDescent="0.3">
      <c r="A71" s="3" t="s">
        <v>8</v>
      </c>
      <c r="B71" s="3" t="s">
        <v>7</v>
      </c>
      <c r="C71" s="2" t="s">
        <v>6</v>
      </c>
      <c r="D71" s="2" t="s">
        <v>5</v>
      </c>
      <c r="E71" s="2" t="s">
        <v>4</v>
      </c>
      <c r="F71" s="2" t="s">
        <v>3</v>
      </c>
      <c r="G71" s="5">
        <v>9159.81</v>
      </c>
      <c r="H71" s="5">
        <v>131122.07999999999</v>
      </c>
      <c r="I71" s="4">
        <v>45634</v>
      </c>
      <c r="J71" s="2" t="s">
        <v>2</v>
      </c>
      <c r="K71" s="2" t="s">
        <v>1</v>
      </c>
      <c r="L71" s="3">
        <v>740</v>
      </c>
      <c r="M71" s="2" t="s">
        <v>0</v>
      </c>
    </row>
    <row r="72" spans="1:13" x14ac:dyDescent="0.3">
      <c r="G72" s="1"/>
      <c r="M72">
        <f>N56</f>
        <v>0</v>
      </c>
    </row>
    <row r="73" spans="1:13" x14ac:dyDescent="0.3">
      <c r="M73">
        <f>COUNTIF(M9:M70,"yes")</f>
        <v>20</v>
      </c>
    </row>
  </sheetData>
  <autoFilter ref="A1:M73" xr:uid="{00000000-0001-0000-0100-000000000000}">
    <sortState xmlns:xlrd2="http://schemas.microsoft.com/office/spreadsheetml/2017/richdata2" ref="A2:M72">
      <sortCondition ref="A1:A73"/>
    </sortState>
  </autoFilter>
  <conditionalFormatting sqref="G1:G1048576">
    <cfRule type="cellIs" dxfId="0" priority="1" operator="greaterThan">
      <formula>100000</formula>
    </cfRule>
  </conditionalFormatting>
  <conditionalFormatting sqref="L2:L7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B691-A4C4-411B-93C2-6BA3964959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Q1_BankTransactions</vt:lpstr>
      <vt:lpstr>DB1_BankTransactions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SINGH</dc:creator>
  <cp:lastModifiedBy>SUNNY SINGH</cp:lastModifiedBy>
  <dcterms:created xsi:type="dcterms:W3CDTF">2026-07-08T01:36:17Z</dcterms:created>
  <dcterms:modified xsi:type="dcterms:W3CDTF">2026-07-08T01:38:26Z</dcterms:modified>
</cp:coreProperties>
</file>