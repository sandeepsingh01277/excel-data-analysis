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d417bddbf6525868/Desktop/excel delta/practice/"/>
    </mc:Choice>
  </mc:AlternateContent>
  <xr:revisionPtr revIDLastSave="0" documentId="8_{8A727D66-70C9-4FE8-88C1-945D3147E042}" xr6:coauthVersionLast="47" xr6:coauthVersionMax="47" xr10:uidLastSave="{00000000-0000-0000-0000-000000000000}"/>
  <bookViews>
    <workbookView xWindow="-108" yWindow="-108" windowWidth="23256" windowHeight="12456" xr2:uid="{20AB293A-6FDD-4C01-B798-7837F32CB480}"/>
  </bookViews>
  <sheets>
    <sheet name="DB3_InsuranceClaims" sheetId="1" r:id="rId1"/>
    <sheet name="Q3_InsuranceClaim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2" l="1"/>
  <c r="D6" i="2"/>
  <c r="D7" i="2"/>
  <c r="D17" i="2" s="1"/>
  <c r="D8" i="2"/>
  <c r="D9" i="2"/>
  <c r="D10" i="2"/>
  <c r="D11" i="2"/>
  <c r="D12" i="2"/>
  <c r="D13" i="2"/>
  <c r="D14" i="2"/>
  <c r="D15" i="2"/>
  <c r="D16" i="2"/>
  <c r="D18" i="2"/>
  <c r="D19" i="2"/>
  <c r="D20" i="2"/>
  <c r="D21" i="2"/>
  <c r="D22" i="2"/>
  <c r="D23" i="2"/>
  <c r="D24" i="2"/>
  <c r="D26" i="2"/>
  <c r="D27" i="2"/>
  <c r="D28" i="2"/>
  <c r="D29" i="2"/>
  <c r="D30" i="2"/>
  <c r="D31" i="2"/>
  <c r="D32" i="2"/>
  <c r="D35" i="2"/>
  <c r="D36" i="2"/>
  <c r="D39" i="2"/>
  <c r="D41" i="2"/>
  <c r="D42" i="2"/>
  <c r="D43" i="2"/>
  <c r="D44" i="2"/>
  <c r="D48" i="2"/>
  <c r="D49" i="2"/>
  <c r="D51" i="2"/>
  <c r="D54" i="2"/>
  <c r="D55" i="2"/>
  <c r="D61" i="2"/>
  <c r="D64" i="2"/>
  <c r="D66" i="2"/>
  <c r="D69" i="2"/>
  <c r="D72" i="2"/>
  <c r="D74" i="2"/>
  <c r="D80" i="2"/>
  <c r="D83" i="2"/>
  <c r="D84" i="2"/>
</calcChain>
</file>

<file path=xl/sharedStrings.xml><?xml version="1.0" encoding="utf-8"?>
<sst xmlns="http://schemas.openxmlformats.org/spreadsheetml/2006/main" count="2464" uniqueCount="688">
  <si>
    <t>No</t>
  </si>
  <si>
    <t>Rohit Arora</t>
  </si>
  <si>
    <t>Pending</t>
  </si>
  <si>
    <t>Travel</t>
  </si>
  <si>
    <t>Mumbai</t>
  </si>
  <si>
    <t>Female</t>
  </si>
  <si>
    <t>Karan Mehta</t>
  </si>
  <si>
    <t>POL49651</t>
  </si>
  <si>
    <t>CLM5250</t>
  </si>
  <si>
    <t>Rekha Pillai</t>
  </si>
  <si>
    <t>Rejected</t>
  </si>
  <si>
    <t>Home</t>
  </si>
  <si>
    <t>Surat</t>
  </si>
  <si>
    <t>Male</t>
  </si>
  <si>
    <t>Jasmine Shah</t>
  </si>
  <si>
    <t>POL53440</t>
  </si>
  <si>
    <t>CLM5249</t>
  </si>
  <si>
    <t>Sanjay Malhotra</t>
  </si>
  <si>
    <t>Approved</t>
  </si>
  <si>
    <t>Motor</t>
  </si>
  <si>
    <t>Jaipur</t>
  </si>
  <si>
    <t>Other</t>
  </si>
  <si>
    <t>Indra Kumar</t>
  </si>
  <si>
    <t>POL45098</t>
  </si>
  <si>
    <t>CLM5248</t>
  </si>
  <si>
    <t>Nisha Garg</t>
  </si>
  <si>
    <t>Under Review</t>
  </si>
  <si>
    <t>Health</t>
  </si>
  <si>
    <t>Ahmedabad</t>
  </si>
  <si>
    <t>Hema Gupta</t>
  </si>
  <si>
    <t>POL11532</t>
  </si>
  <si>
    <t>CLM5247</t>
  </si>
  <si>
    <t>Yes</t>
  </si>
  <si>
    <t>Vikram Sen</t>
  </si>
  <si>
    <t>Term Life</t>
  </si>
  <si>
    <t>Bangalore</t>
  </si>
  <si>
    <t>Girish Patel</t>
  </si>
  <si>
    <t>POL20071</t>
  </si>
  <si>
    <t>CLM5246</t>
  </si>
  <si>
    <t>Priti Jha</t>
  </si>
  <si>
    <t>ULIP</t>
  </si>
  <si>
    <t>Hyderabad</t>
  </si>
  <si>
    <t>Farah Khan</t>
  </si>
  <si>
    <t>POL91192</t>
  </si>
  <si>
    <t>CLM5245</t>
  </si>
  <si>
    <t>Ashok Yadav</t>
  </si>
  <si>
    <t>Kolkata</t>
  </si>
  <si>
    <t>Elan Singh</t>
  </si>
  <si>
    <t>POL32395</t>
  </si>
  <si>
    <t>CLM5244</t>
  </si>
  <si>
    <t>Leela Nair</t>
  </si>
  <si>
    <t>Chennai</t>
  </si>
  <si>
    <t>Devika Nair</t>
  </si>
  <si>
    <t>POL34911</t>
  </si>
  <si>
    <t>CLM5243</t>
  </si>
  <si>
    <t>Manoj Tiwari</t>
  </si>
  <si>
    <t>Pune</t>
  </si>
  <si>
    <t>Chandra Rao</t>
  </si>
  <si>
    <t>POL93410</t>
  </si>
  <si>
    <t>CLM5242</t>
  </si>
  <si>
    <t>Sunita Kapoor</t>
  </si>
  <si>
    <t>Delhi</t>
  </si>
  <si>
    <t>Bindiya Roy</t>
  </si>
  <si>
    <t>POL59428</t>
  </si>
  <si>
    <t>CLM5241</t>
  </si>
  <si>
    <t>Anand Sharma</t>
  </si>
  <si>
    <t>POL44476</t>
  </si>
  <si>
    <t>CLM5240</t>
  </si>
  <si>
    <t>Om Saxena</t>
  </si>
  <si>
    <t>POL25094</t>
  </si>
  <si>
    <t>CLM5239</t>
  </si>
  <si>
    <t>Nalini Bose</t>
  </si>
  <si>
    <t>POL28666</t>
  </si>
  <si>
    <t>CLM5238</t>
  </si>
  <si>
    <t>Manish Desai</t>
  </si>
  <si>
    <t>POL51672</t>
  </si>
  <si>
    <t>CLM5237</t>
  </si>
  <si>
    <t>Lavanya Iyer</t>
  </si>
  <si>
    <t>POL35513</t>
  </si>
  <si>
    <t>CLM5236</t>
  </si>
  <si>
    <t>POL99213</t>
  </si>
  <si>
    <t>CLM5235</t>
  </si>
  <si>
    <t>POL27510</t>
  </si>
  <si>
    <t>CLM5234</t>
  </si>
  <si>
    <t>POL10229</t>
  </si>
  <si>
    <t>CLM5233</t>
  </si>
  <si>
    <t>POL69276</t>
  </si>
  <si>
    <t>CLM5232</t>
  </si>
  <si>
    <t>POL69703</t>
  </si>
  <si>
    <t>CLM5231</t>
  </si>
  <si>
    <t>POL26958</t>
  </si>
  <si>
    <t>CLM5230</t>
  </si>
  <si>
    <t>POL83806</t>
  </si>
  <si>
    <t>CLM5229</t>
  </si>
  <si>
    <t>POL43305</t>
  </si>
  <si>
    <t>CLM5228</t>
  </si>
  <si>
    <t>POL83005</t>
  </si>
  <si>
    <t>CLM5227</t>
  </si>
  <si>
    <t>POL58278</t>
  </si>
  <si>
    <t>CLM5226</t>
  </si>
  <si>
    <t>POL42164</t>
  </si>
  <si>
    <t>CLM5225</t>
  </si>
  <si>
    <t>POL92883</t>
  </si>
  <si>
    <t>CLM5224</t>
  </si>
  <si>
    <t>POL21726</t>
  </si>
  <si>
    <t>CLM5223</t>
  </si>
  <si>
    <t>POL72442</t>
  </si>
  <si>
    <t>CLM5222</t>
  </si>
  <si>
    <t>POL47935</t>
  </si>
  <si>
    <t>CLM5221</t>
  </si>
  <si>
    <t>POL10942</t>
  </si>
  <si>
    <t>CLM5220</t>
  </si>
  <si>
    <t>POL29856</t>
  </si>
  <si>
    <t>CLM5219</t>
  </si>
  <si>
    <t>POL65657</t>
  </si>
  <si>
    <t>CLM5218</t>
  </si>
  <si>
    <t>POL71379</t>
  </si>
  <si>
    <t>CLM5217</t>
  </si>
  <si>
    <t>POL64559</t>
  </si>
  <si>
    <t>CLM5216</t>
  </si>
  <si>
    <t>POL70727</t>
  </si>
  <si>
    <t>CLM5215</t>
  </si>
  <si>
    <t>POL98975</t>
  </si>
  <si>
    <t>CLM5214</t>
  </si>
  <si>
    <t>POL23207</t>
  </si>
  <si>
    <t>CLM5213</t>
  </si>
  <si>
    <t>POL77208</t>
  </si>
  <si>
    <t>CLM5212</t>
  </si>
  <si>
    <t>POL11001</t>
  </si>
  <si>
    <t>CLM5211</t>
  </si>
  <si>
    <t>POL39250</t>
  </si>
  <si>
    <t>CLM5210</t>
  </si>
  <si>
    <t>POL42961</t>
  </si>
  <si>
    <t>CLM5209</t>
  </si>
  <si>
    <t>POL90664</t>
  </si>
  <si>
    <t>CLM5208</t>
  </si>
  <si>
    <t>POL56797</t>
  </si>
  <si>
    <t>CLM5207</t>
  </si>
  <si>
    <t>POL23273</t>
  </si>
  <si>
    <t>CLM5206</t>
  </si>
  <si>
    <t>POL38302</t>
  </si>
  <si>
    <t>CLM5205</t>
  </si>
  <si>
    <t>POL37132</t>
  </si>
  <si>
    <t>CLM5204</t>
  </si>
  <si>
    <t>POL15291</t>
  </si>
  <si>
    <t>CLM5203</t>
  </si>
  <si>
    <t>POL85915</t>
  </si>
  <si>
    <t>CLM5202</t>
  </si>
  <si>
    <t>POL87947</t>
  </si>
  <si>
    <t>CLM5201</t>
  </si>
  <si>
    <t>POL55945</t>
  </si>
  <si>
    <t>CLM5200</t>
  </si>
  <si>
    <t>POL86756</t>
  </si>
  <si>
    <t>CLM5199</t>
  </si>
  <si>
    <t>POL72697</t>
  </si>
  <si>
    <t>CLM5198</t>
  </si>
  <si>
    <t>POL87003</t>
  </si>
  <si>
    <t>CLM5197</t>
  </si>
  <si>
    <t>POL70250</t>
  </si>
  <si>
    <t>CLM5196</t>
  </si>
  <si>
    <t>POL98611</t>
  </si>
  <si>
    <t>CLM5195</t>
  </si>
  <si>
    <t>POL90540</t>
  </si>
  <si>
    <t>CLM5194</t>
  </si>
  <si>
    <t>POL13722</t>
  </si>
  <si>
    <t>CLM5193</t>
  </si>
  <si>
    <t>POL64368</t>
  </si>
  <si>
    <t>CLM5192</t>
  </si>
  <si>
    <t>POL14698</t>
  </si>
  <si>
    <t>CLM5191</t>
  </si>
  <si>
    <t>POL61392</t>
  </si>
  <si>
    <t>CLM5190</t>
  </si>
  <si>
    <t>POL77523</t>
  </si>
  <si>
    <t>CLM5189</t>
  </si>
  <si>
    <t>POL17437</t>
  </si>
  <si>
    <t>CLM5188</t>
  </si>
  <si>
    <t>POL42750</t>
  </si>
  <si>
    <t>CLM5187</t>
  </si>
  <si>
    <t>POL83734</t>
  </si>
  <si>
    <t>CLM5186</t>
  </si>
  <si>
    <t>POL73362</t>
  </si>
  <si>
    <t>CLM5185</t>
  </si>
  <si>
    <t>POL31419</t>
  </si>
  <si>
    <t>CLM5184</t>
  </si>
  <si>
    <t>POL93183</t>
  </si>
  <si>
    <t>CLM5183</t>
  </si>
  <si>
    <t>POL47298</t>
  </si>
  <si>
    <t>CLM5182</t>
  </si>
  <si>
    <t>POL87421</t>
  </si>
  <si>
    <t>CLM5181</t>
  </si>
  <si>
    <t>POL22589</t>
  </si>
  <si>
    <t>CLM5180</t>
  </si>
  <si>
    <t>POL98494</t>
  </si>
  <si>
    <t>CLM5179</t>
  </si>
  <si>
    <t>POL65787</t>
  </si>
  <si>
    <t>CLM5178</t>
  </si>
  <si>
    <t>POL70611</t>
  </si>
  <si>
    <t>CLM5177</t>
  </si>
  <si>
    <t>POL32651</t>
  </si>
  <si>
    <t>CLM5176</t>
  </si>
  <si>
    <t>POL88731</t>
  </si>
  <si>
    <t>CLM5175</t>
  </si>
  <si>
    <t>POL95409</t>
  </si>
  <si>
    <t>CLM5174</t>
  </si>
  <si>
    <t>POL25811</t>
  </si>
  <si>
    <t>CLM5173</t>
  </si>
  <si>
    <t>POL76447</t>
  </si>
  <si>
    <t>CLM5172</t>
  </si>
  <si>
    <t>POL65191</t>
  </si>
  <si>
    <t>CLM5171</t>
  </si>
  <si>
    <t>POL10150</t>
  </si>
  <si>
    <t>CLM5170</t>
  </si>
  <si>
    <t>POL23885</t>
  </si>
  <si>
    <t>CLM5169</t>
  </si>
  <si>
    <t>POL44178</t>
  </si>
  <si>
    <t>CLM5168</t>
  </si>
  <si>
    <t>POL36508</t>
  </si>
  <si>
    <t>CLM5167</t>
  </si>
  <si>
    <t>POL75465</t>
  </si>
  <si>
    <t>CLM5166</t>
  </si>
  <si>
    <t>POL51079</t>
  </si>
  <si>
    <t>CLM5165</t>
  </si>
  <si>
    <t>POL37349</t>
  </si>
  <si>
    <t>CLM5164</t>
  </si>
  <si>
    <t>POL50808</t>
  </si>
  <si>
    <t>CLM5163</t>
  </si>
  <si>
    <t>POL13680</t>
  </si>
  <si>
    <t>CLM5162</t>
  </si>
  <si>
    <t>POL52392</t>
  </si>
  <si>
    <t>CLM5161</t>
  </si>
  <si>
    <t>POL91667</t>
  </si>
  <si>
    <t>CLM5160</t>
  </si>
  <si>
    <t>POL48532</t>
  </si>
  <si>
    <t>CLM5159</t>
  </si>
  <si>
    <t>POL83951</t>
  </si>
  <si>
    <t>CLM5158</t>
  </si>
  <si>
    <t>POL53102</t>
  </si>
  <si>
    <t>CLM5157</t>
  </si>
  <si>
    <t>POL43199</t>
  </si>
  <si>
    <t>CLM5156</t>
  </si>
  <si>
    <t>POL25723</t>
  </si>
  <si>
    <t>CLM5155</t>
  </si>
  <si>
    <t>POL44597</t>
  </si>
  <si>
    <t>CLM5154</t>
  </si>
  <si>
    <t>POL59850</t>
  </si>
  <si>
    <t>CLM5153</t>
  </si>
  <si>
    <t>POL90833</t>
  </si>
  <si>
    <t>CLM5152</t>
  </si>
  <si>
    <t>POL65313</t>
  </si>
  <si>
    <t>CLM5151</t>
  </si>
  <si>
    <t>POL84233</t>
  </si>
  <si>
    <t>CLM5150</t>
  </si>
  <si>
    <t>POL46383</t>
  </si>
  <si>
    <t>CLM5149</t>
  </si>
  <si>
    <t>POL47084</t>
  </si>
  <si>
    <t>CLM5148</t>
  </si>
  <si>
    <t>POL18749</t>
  </si>
  <si>
    <t>CLM5147</t>
  </si>
  <si>
    <t>POL88894</t>
  </si>
  <si>
    <t>CLM5146</t>
  </si>
  <si>
    <t>POL71142</t>
  </si>
  <si>
    <t>CLM5145</t>
  </si>
  <si>
    <t>POL20431</t>
  </si>
  <si>
    <t>CLM5144</t>
  </si>
  <si>
    <t>POL26308</t>
  </si>
  <si>
    <t>CLM5143</t>
  </si>
  <si>
    <t>POL17836</t>
  </si>
  <si>
    <t>CLM5142</t>
  </si>
  <si>
    <t>POL27792</t>
  </si>
  <si>
    <t>CLM5141</t>
  </si>
  <si>
    <t>POL80980</t>
  </si>
  <si>
    <t>CLM5140</t>
  </si>
  <si>
    <t>POL46378</t>
  </si>
  <si>
    <t>CLM5139</t>
  </si>
  <si>
    <t>POL22503</t>
  </si>
  <si>
    <t>CLM5138</t>
  </si>
  <si>
    <t>POL56701</t>
  </si>
  <si>
    <t>CLM5137</t>
  </si>
  <si>
    <t>POL43218</t>
  </si>
  <si>
    <t>CLM5136</t>
  </si>
  <si>
    <t>POL95752</t>
  </si>
  <si>
    <t>CLM5135</t>
  </si>
  <si>
    <t>POL34117</t>
  </si>
  <si>
    <t>CLM5134</t>
  </si>
  <si>
    <t>POL95670</t>
  </si>
  <si>
    <t>CLM5133</t>
  </si>
  <si>
    <t>POL34204</t>
  </si>
  <si>
    <t>CLM5132</t>
  </si>
  <si>
    <t>POL21020</t>
  </si>
  <si>
    <t>CLM5131</t>
  </si>
  <si>
    <t>POL80381</t>
  </si>
  <si>
    <t>CLM5130</t>
  </si>
  <si>
    <t>POL91778</t>
  </si>
  <si>
    <t>CLM5129</t>
  </si>
  <si>
    <t>POL47056</t>
  </si>
  <si>
    <t>CLM5128</t>
  </si>
  <si>
    <t>POL74465</t>
  </si>
  <si>
    <t>CLM5127</t>
  </si>
  <si>
    <t>POL40969</t>
  </si>
  <si>
    <t>CLM5126</t>
  </si>
  <si>
    <t>POL76454</t>
  </si>
  <si>
    <t>CLM5125</t>
  </si>
  <si>
    <t>POL87624</t>
  </si>
  <si>
    <t>CLM5124</t>
  </si>
  <si>
    <t>POL78519</t>
  </si>
  <si>
    <t>CLM5123</t>
  </si>
  <si>
    <t>POL55655</t>
  </si>
  <si>
    <t>CLM5122</t>
  </si>
  <si>
    <t>POL20304</t>
  </si>
  <si>
    <t>CLM5121</t>
  </si>
  <si>
    <t>POL23042</t>
  </si>
  <si>
    <t>CLM5120</t>
  </si>
  <si>
    <t>POL93537</t>
  </si>
  <si>
    <t>CLM5119</t>
  </si>
  <si>
    <t>POL72276</t>
  </si>
  <si>
    <t>CLM5118</t>
  </si>
  <si>
    <t>POL10705</t>
  </si>
  <si>
    <t>CLM5117</t>
  </si>
  <si>
    <t>POL65678</t>
  </si>
  <si>
    <t>CLM5116</t>
  </si>
  <si>
    <t>POL26878</t>
  </si>
  <si>
    <t>CLM5115</t>
  </si>
  <si>
    <t>POL66079</t>
  </si>
  <si>
    <t>CLM5114</t>
  </si>
  <si>
    <t>POL88407</t>
  </si>
  <si>
    <t>CLM5113</t>
  </si>
  <si>
    <t>POL94848</t>
  </si>
  <si>
    <t>CLM5112</t>
  </si>
  <si>
    <t>POL97786</t>
  </si>
  <si>
    <t>CLM5111</t>
  </si>
  <si>
    <t>POL46698</t>
  </si>
  <si>
    <t>CLM5110</t>
  </si>
  <si>
    <t>POL73331</t>
  </si>
  <si>
    <t>CLM5109</t>
  </si>
  <si>
    <t>POL83401</t>
  </si>
  <si>
    <t>CLM5108</t>
  </si>
  <si>
    <t>POL32295</t>
  </si>
  <si>
    <t>CLM5107</t>
  </si>
  <si>
    <t>POL73930</t>
  </si>
  <si>
    <t>CLM5106</t>
  </si>
  <si>
    <t>POL91372</t>
  </si>
  <si>
    <t>CLM5105</t>
  </si>
  <si>
    <t>POL14511</t>
  </si>
  <si>
    <t>CLM5104</t>
  </si>
  <si>
    <t>POL58252</t>
  </si>
  <si>
    <t>CLM5103</t>
  </si>
  <si>
    <t>POL36096</t>
  </si>
  <si>
    <t>CLM5102</t>
  </si>
  <si>
    <t>POL82649</t>
  </si>
  <si>
    <t>CLM5101</t>
  </si>
  <si>
    <t>POL76823</t>
  </si>
  <si>
    <t>CLM5100</t>
  </si>
  <si>
    <t>POL63827</t>
  </si>
  <si>
    <t>CLM5099</t>
  </si>
  <si>
    <t>POL67765</t>
  </si>
  <si>
    <t>CLM5098</t>
  </si>
  <si>
    <t>POL75266</t>
  </si>
  <si>
    <t>CLM5097</t>
  </si>
  <si>
    <t>POL11237</t>
  </si>
  <si>
    <t>CLM5096</t>
  </si>
  <si>
    <t>POL84647</t>
  </si>
  <si>
    <t>CLM5095</t>
  </si>
  <si>
    <t>POL24475</t>
  </si>
  <si>
    <t>CLM5094</t>
  </si>
  <si>
    <t>POL96168</t>
  </si>
  <si>
    <t>CLM5093</t>
  </si>
  <si>
    <t>POL30354</t>
  </si>
  <si>
    <t>CLM5092</t>
  </si>
  <si>
    <t>POL37798</t>
  </si>
  <si>
    <t>CLM5091</t>
  </si>
  <si>
    <t>POL86662</t>
  </si>
  <si>
    <t>CLM5090</t>
  </si>
  <si>
    <t>POL18182</t>
  </si>
  <si>
    <t>CLM5089</t>
  </si>
  <si>
    <t>POL71204</t>
  </si>
  <si>
    <t>CLM5088</t>
  </si>
  <si>
    <t>POL17147</t>
  </si>
  <si>
    <t>CLM5087</t>
  </si>
  <si>
    <t>POL65138</t>
  </si>
  <si>
    <t>CLM5086</t>
  </si>
  <si>
    <t>POL77465</t>
  </si>
  <si>
    <t>CLM5085</t>
  </si>
  <si>
    <t>POL40023</t>
  </si>
  <si>
    <t>CLM5084</t>
  </si>
  <si>
    <t>POL62818</t>
  </si>
  <si>
    <t>CLM5083</t>
  </si>
  <si>
    <t>POL38805</t>
  </si>
  <si>
    <t>CLM5082</t>
  </si>
  <si>
    <t>POL59468</t>
  </si>
  <si>
    <t>CLM5081</t>
  </si>
  <si>
    <t>POL75731</t>
  </si>
  <si>
    <t>CLM5080</t>
  </si>
  <si>
    <t>POL46598</t>
  </si>
  <si>
    <t>CLM5079</t>
  </si>
  <si>
    <t>POL47202</t>
  </si>
  <si>
    <t>CLM5078</t>
  </si>
  <si>
    <t>POL22359</t>
  </si>
  <si>
    <t>CLM5077</t>
  </si>
  <si>
    <t>POL15305</t>
  </si>
  <si>
    <t>CLM5076</t>
  </si>
  <si>
    <t>POL63654</t>
  </si>
  <si>
    <t>CLM5075</t>
  </si>
  <si>
    <t>POL61503</t>
  </si>
  <si>
    <t>CLM5074</t>
  </si>
  <si>
    <t>POL18753</t>
  </si>
  <si>
    <t>CLM5073</t>
  </si>
  <si>
    <t>POL56933</t>
  </si>
  <si>
    <t>CLM5072</t>
  </si>
  <si>
    <t>POL37023</t>
  </si>
  <si>
    <t>CLM5071</t>
  </si>
  <si>
    <t>POL66592</t>
  </si>
  <si>
    <t>CLM5070</t>
  </si>
  <si>
    <t>POL79090</t>
  </si>
  <si>
    <t>CLM5069</t>
  </si>
  <si>
    <t>POL77193</t>
  </si>
  <si>
    <t>CLM5068</t>
  </si>
  <si>
    <t>POL42363</t>
  </si>
  <si>
    <t>CLM5067</t>
  </si>
  <si>
    <t>POL26181</t>
  </si>
  <si>
    <t>CLM5066</t>
  </si>
  <si>
    <t>POL13957</t>
  </si>
  <si>
    <t>CLM5065</t>
  </si>
  <si>
    <t>POL54561</t>
  </si>
  <si>
    <t>CLM5064</t>
  </si>
  <si>
    <t>POL78374</t>
  </si>
  <si>
    <t>CLM5063</t>
  </si>
  <si>
    <t>POL31369</t>
  </si>
  <si>
    <t>CLM5062</t>
  </si>
  <si>
    <t>POL71411</t>
  </si>
  <si>
    <t>CLM5061</t>
  </si>
  <si>
    <t>POL74321</t>
  </si>
  <si>
    <t>CLM5060</t>
  </si>
  <si>
    <t>POL63628</t>
  </si>
  <si>
    <t>CLM5059</t>
  </si>
  <si>
    <t>POL25297</t>
  </si>
  <si>
    <t>CLM5058</t>
  </si>
  <si>
    <t>POL98492</t>
  </si>
  <si>
    <t>CLM5057</t>
  </si>
  <si>
    <t>POL83001</t>
  </si>
  <si>
    <t>CLM5056</t>
  </si>
  <si>
    <t>POL72471</t>
  </si>
  <si>
    <t>CLM5055</t>
  </si>
  <si>
    <t>POL93801</t>
  </si>
  <si>
    <t>CLM5054</t>
  </si>
  <si>
    <t>POL68779</t>
  </si>
  <si>
    <t>CLM5053</t>
  </si>
  <si>
    <t>POL21336</t>
  </si>
  <si>
    <t>CLM5052</t>
  </si>
  <si>
    <t>POL83417</t>
  </si>
  <si>
    <t>CLM5051</t>
  </si>
  <si>
    <t>POL14134</t>
  </si>
  <si>
    <t>CLM5050</t>
  </si>
  <si>
    <t>POL46421</t>
  </si>
  <si>
    <t>CLM5049</t>
  </si>
  <si>
    <t>POL73296</t>
  </si>
  <si>
    <t>CLM5048</t>
  </si>
  <si>
    <t>POL87129</t>
  </si>
  <si>
    <t>CLM5047</t>
  </si>
  <si>
    <t>POL96920</t>
  </si>
  <si>
    <t>CLM5046</t>
  </si>
  <si>
    <t>POL28844</t>
  </si>
  <si>
    <t>CLM5045</t>
  </si>
  <si>
    <t>POL53332</t>
  </si>
  <si>
    <t>CLM5044</t>
  </si>
  <si>
    <t>POL49993</t>
  </si>
  <si>
    <t>CLM5043</t>
  </si>
  <si>
    <t>POL60586</t>
  </si>
  <si>
    <t>CLM5042</t>
  </si>
  <si>
    <t>POL67713</t>
  </si>
  <si>
    <t>CLM5041</t>
  </si>
  <si>
    <t>POL86319</t>
  </si>
  <si>
    <t>CLM5040</t>
  </si>
  <si>
    <t>POL72895</t>
  </si>
  <si>
    <t>CLM5039</t>
  </si>
  <si>
    <t>POL44721</t>
  </si>
  <si>
    <t>CLM5038</t>
  </si>
  <si>
    <t>POL94233</t>
  </si>
  <si>
    <t>CLM5037</t>
  </si>
  <si>
    <t>POL95987</t>
  </si>
  <si>
    <t>CLM5036</t>
  </si>
  <si>
    <t>POL96419</t>
  </si>
  <si>
    <t>CLM5035</t>
  </si>
  <si>
    <t>POL52553</t>
  </si>
  <si>
    <t>CLM5034</t>
  </si>
  <si>
    <t>POL77058</t>
  </si>
  <si>
    <t>CLM5033</t>
  </si>
  <si>
    <t>POL92991</t>
  </si>
  <si>
    <t>CLM5032</t>
  </si>
  <si>
    <t>POL26596</t>
  </si>
  <si>
    <t>CLM5031</t>
  </si>
  <si>
    <t>POL63043</t>
  </si>
  <si>
    <t>CLM5030</t>
  </si>
  <si>
    <t>POL94825</t>
  </si>
  <si>
    <t>CLM5029</t>
  </si>
  <si>
    <t>POL17927</t>
  </si>
  <si>
    <t>CLM5028</t>
  </si>
  <si>
    <t>POL25714</t>
  </si>
  <si>
    <t>CLM5027</t>
  </si>
  <si>
    <t>POL83535</t>
  </si>
  <si>
    <t>CLM5026</t>
  </si>
  <si>
    <t>POL29010</t>
  </si>
  <si>
    <t>CLM5025</t>
  </si>
  <si>
    <t>POL43411</t>
  </si>
  <si>
    <t>CLM5024</t>
  </si>
  <si>
    <t>POL99279</t>
  </si>
  <si>
    <t>CLM5023</t>
  </si>
  <si>
    <t>POL21290</t>
  </si>
  <si>
    <t>CLM5022</t>
  </si>
  <si>
    <t>POL62723</t>
  </si>
  <si>
    <t>CLM5021</t>
  </si>
  <si>
    <t>POL36742</t>
  </si>
  <si>
    <t>CLM5020</t>
  </si>
  <si>
    <t>POL19273</t>
  </si>
  <si>
    <t>CLM5019</t>
  </si>
  <si>
    <t>POL64396</t>
  </si>
  <si>
    <t>CLM5018</t>
  </si>
  <si>
    <t>POL88788</t>
  </si>
  <si>
    <t>CLM5017</t>
  </si>
  <si>
    <t>POL31171</t>
  </si>
  <si>
    <t>CLM5016</t>
  </si>
  <si>
    <t>POL72377</t>
  </si>
  <si>
    <t>CLM5015</t>
  </si>
  <si>
    <t>POL13503</t>
  </si>
  <si>
    <t>CLM5014</t>
  </si>
  <si>
    <t>POL73638</t>
  </si>
  <si>
    <t>CLM5013</t>
  </si>
  <si>
    <t>POL74077</t>
  </si>
  <si>
    <t>CLM5012</t>
  </si>
  <si>
    <t>POL15171</t>
  </si>
  <si>
    <t>CLM5011</t>
  </si>
  <si>
    <t>POL28132</t>
  </si>
  <si>
    <t>CLM5010</t>
  </si>
  <si>
    <t>POL62962</t>
  </si>
  <si>
    <t>CLM5009</t>
  </si>
  <si>
    <t>POL45641</t>
  </si>
  <si>
    <t>CLM5008</t>
  </si>
  <si>
    <t>POL22441</t>
  </si>
  <si>
    <t>CLM5007</t>
  </si>
  <si>
    <t>POL20000</t>
  </si>
  <si>
    <t>CLM5006</t>
  </si>
  <si>
    <t>POL19421</t>
  </si>
  <si>
    <t>CLM5005</t>
  </si>
  <si>
    <t>POL60928</t>
  </si>
  <si>
    <t>CLM5004</t>
  </si>
  <si>
    <t>POL13716</t>
  </si>
  <si>
    <t>CLM5003</t>
  </si>
  <si>
    <t>POL83124</t>
  </si>
  <si>
    <t>CLM5002</t>
  </si>
  <si>
    <t>POL43125</t>
  </si>
  <si>
    <t>CLM5001</t>
  </si>
  <si>
    <t>Fraud_Flag</t>
  </si>
  <si>
    <t>Deductible</t>
  </si>
  <si>
    <t>Premium_Paid</t>
  </si>
  <si>
    <t>Agent_Name</t>
  </si>
  <si>
    <t>Status</t>
  </si>
  <si>
    <t>Settlement_Date</t>
  </si>
  <si>
    <t>Claim_Date</t>
  </si>
  <si>
    <t>Settled_Amount</t>
  </si>
  <si>
    <t>Claim_Amount</t>
  </si>
  <si>
    <t>Policy_Type</t>
  </si>
  <si>
    <t>City</t>
  </si>
  <si>
    <t>Gender</t>
  </si>
  <si>
    <t>Age</t>
  </si>
  <si>
    <t>Policyholder</t>
  </si>
  <si>
    <t>PolicyID</t>
  </si>
  <si>
    <t>ClaimID</t>
  </si>
  <si>
    <t>Total claims, approved%, rejected%, fraud%, total premium, total settled, avg turnaround, top agent, top city, highest claim, etc.</t>
  </si>
  <si>
    <t>Final challenge: build complete 'Insurer Dashboard' area with 15 KPIs labeled, all formula-driven.</t>
  </si>
  <si>
    <t>Hard</t>
  </si>
  <si>
    <t>Select N and H → Scatter → use series per policy type for color coding</t>
  </si>
  <si>
    <t>Create a scatter plot: X=Premium_Paid, Y=Claim_Amount, colored by Policy_Type.</t>
  </si>
  <si>
    <t>Name Manager → ClaimAmt → use =SUM(ClaimAmt), =MAX(ClaimAmt) etc.</t>
  </si>
  <si>
    <t>Build a named range for Claim_Amount and use it in all summary formulas.</t>
  </si>
  <si>
    <t>Detect outlier claims: flag any claim &gt; 2× the average as 'Outlier' in a new column.</t>
  </si>
  <si>
    <t>XLOOKUP with fallback: find Settlement_Date for any ClaimID; if not found or null show 'Pending'.</t>
  </si>
  <si>
    <t>Page Layout → Print Titles → Page Setup → Headers repeat, Print Area A:M</t>
  </si>
  <si>
    <t>Build a print-ready claim report: freeze headers, set print area A-M, repeat row 1 on all pages.</t>
  </si>
  <si>
    <t>Use H:H instead of H2:H251 in your SUMIF/COUNTIF formulas</t>
  </si>
  <si>
    <t>Create a summary that auto-updates when new claims are added (use full column references).</t>
  </si>
  <si>
    <t>Simulate a reserve calculation: for each Pending claim, reserve 80% of Claim_Amount.</t>
  </si>
  <si>
    <t>IQR = QUARTILE(H2:H251,3) - QUARTILE(H2:H251,1)  using QUARTILE function</t>
  </si>
  <si>
    <t>Use LARGE()+SMALL() to find the interquartile range of Claim_Amount.</t>
  </si>
  <si>
    <t>Settlement ratio per type = SUMIF(settled)/SUMIF(claimed) → MIN → match type</t>
  </si>
  <si>
    <t>Identify the policy type with the lowest average settlement ratio.</t>
  </si>
  <si>
    <t>PivotTable: Agent_Name rows, City columns, ClaimID COUNT</t>
  </si>
  <si>
    <t>Create a two-way pivot: Agent (rows) × City (columns) → COUNT of claims.</t>
  </si>
  <si>
    <t>Calculate loss ratio per Policy_Type: Settled_Amount / Premium_Paid.</t>
  </si>
  <si>
    <t>Find month-over-month trend in claim amounts using SUMPRODUCT+MONTH.</t>
  </si>
  <si>
    <t>Use INDIRECT + CHOOSE to let user select metric (Claim/Settled/Premium) from cell and see totals.</t>
  </si>
  <si>
    <t>Select A2:P251 → CF → Use formula → =$P2="Yes" → Red fill</t>
  </si>
  <si>
    <t>Create conditional formatting rules that turn the entire ROW red if Fraud_Flag='Yes'.</t>
  </si>
  <si>
    <t>Calculate what % of total premium collected is at risk (pending + under review claims).</t>
  </si>
  <si>
    <t>SUMIF table for agents → LARGE(sumif_range, 1/2/3) → INDEX-MATCH names</t>
  </si>
  <si>
    <t>Find the top 3 agents by total settled amount using LARGE + INDEX-MATCH.</t>
  </si>
  <si>
    <t>10+ COUNTIFS and SUMIFS all referencing one input cell for Policy_Type</t>
  </si>
  <si>
    <t>Build dynamic settlement calculator: input any Policy_Type → show total approved, rejected, pending counts + amounts.</t>
  </si>
  <si>
    <t>Weighted average claim amount weighted by Premium_Paid.</t>
  </si>
  <si>
    <t>4 formulas: COUNTIF, COUNTIF/COUNTA, AVERAGEIF, MAXIFS all with Fraud_Flag=Yes</t>
  </si>
  <si>
    <t>Create a fraud analytics dashboard: total fraud claims, % fraud, avg fraud claim amount, highest fraud claim.</t>
  </si>
  <si>
    <t xml:space="preserve">  ▶  HARD QUESTIONS</t>
  </si>
  <si>
    <t>Use NETWORKDAYS to find settlement turnaround time in business days.</t>
  </si>
  <si>
    <t>Intermediate</t>
  </si>
  <si>
    <t>Extract month from Claim_Date for monthly analysis.</t>
  </si>
  <si>
    <t>Use MINIFS: lowest Premium_Paid per Policy_Type.</t>
  </si>
  <si>
    <t>Create claim bracket table → COUNTIFS approved/rejected per bracket → mini chart</t>
  </si>
  <si>
    <t>Identify if there's a correlation pattern: do high claim amounts get rejected more?</t>
  </si>
  <si>
    <t>Data → Validation → List → Approved,Rejected,Pending,Under Review</t>
  </si>
  <si>
    <t>Data validation on Status column: only allow 4 valid values.</t>
  </si>
  <si>
    <t>Use COUNTIFS: count claims submitted in Q1 2023 (Jan-Mar).</t>
  </si>
  <si>
    <t>Click B2 → View → Freeze Panes</t>
  </si>
  <si>
    <t>Freeze panes so row 1 and column A stay locked while scrolling.</t>
  </si>
  <si>
    <t>SUMIF summary → Insert Column/Bar Chart</t>
  </si>
  <si>
    <t>Create bar chart: total Claim_Amount by Policy_Type.</t>
  </si>
  <si>
    <t>Transpose headers to row, build 2-row lookup table, =HLOOKUP(G2,range,2,0)</t>
  </si>
  <si>
    <t>Use HLOOKUP on a transposed policy reference table.</t>
  </si>
  <si>
    <t>Sort by date first → =SUM(H$2:H2)  drag down</t>
  </si>
  <si>
    <t>Create running total of Claim_Amount ordered by Claim_Date.</t>
  </si>
  <si>
    <t>SUMIF for each agent → MAX → INDEX-MATCH agent name</t>
  </si>
  <si>
    <t>Find agent with highest total settled amount using SUMIF + INDEX-MATCH.</t>
  </si>
  <si>
    <t>SUMIFS with date: total Claim_Amount for 2023 claims.</t>
  </si>
  <si>
    <t>Calculate net company exposure: Claim_Amount - Deductible - Settled_Amount.</t>
  </si>
  <si>
    <t>Data → Sort → 2 levels</t>
  </si>
  <si>
    <t>Use Advanced Sort: City A-Z, then Claim_Amount Z-A.</t>
  </si>
  <si>
    <t>Copy column → Text to Columns → Space delimiter</t>
  </si>
  <si>
    <t>Use Text to Columns to split Policyholder into First + Last name.</t>
  </si>
  <si>
    <t>Calculate settlement ratio: Settled_Amount/Claim_Amount for Approved claims.</t>
  </si>
  <si>
    <t>Insert PivotTable → Policy_Type rows, Status columns, Claim_Amount SUM</t>
  </si>
  <si>
    <t>PivotTable: Policy_Type in rows, Status in columns, Claim_Amount SUM in values.</t>
  </si>
  <si>
    <t>Nested IF: classify Claim_Amount: &lt;10000='Small', 10000-99999='Medium', &gt;=100000='Large'.</t>
  </si>
  <si>
    <t>INDEX-MATCH: find Policyholder with highest Claim_Amount.</t>
  </si>
  <si>
    <t>18 formulas: COUNTIF, SUMIF, AVERAGEIF for each policy type</t>
  </si>
  <si>
    <t>Create summary: 6 Policy_Types × 3 metrics (Count, Total Claim, Avg Settlement).</t>
  </si>
  <si>
    <t xml:space="preserve">  ▶  INTERMEDIATE QUESTIONS</t>
  </si>
  <si>
    <t>Filter Approved → =SUBTOTAL(9,I2:I251)</t>
  </si>
  <si>
    <t>Use SUBTOTAL(9) on Settled_Amount after filtering Approved status.</t>
  </si>
  <si>
    <t>Medium</t>
  </si>
  <si>
    <t>CONCATENATE: merge Policyholder + ' | ' + Status.</t>
  </si>
  <si>
    <t>AVERAGEIFS: avg Premium_Paid for 'Approved' + 'Health'.</t>
  </si>
  <si>
    <t>SUMPRODUCT: sum of (Claim_Amount - Deductible) for all rows.</t>
  </si>
  <si>
    <t>TEXT(): format Claim_Date as 'DD-Mon-YYYY'.</t>
  </si>
  <si>
    <t>Select P2:P251 → CF → Text Contains 'Yes' → Red fill</t>
  </si>
  <si>
    <t>Conditional formatting: highlight Fraud_Flag='Yes' rows with red fill.</t>
  </si>
  <si>
    <t>COUNTIFS: count Female claims from Delhi.</t>
  </si>
  <si>
    <t>MAXIFS: highest Claim_Amount per Policy_Type.</t>
  </si>
  <si>
    <t>RANK Claim_Amount in H2 among all claims.</t>
  </si>
  <si>
    <t>IFERROR: VLOOKUP 'CLM0001' (doesn't exist), show 'Claim Not Found'.</t>
  </si>
  <si>
    <t>SUMIF: total Deductible for Female policyholders.</t>
  </si>
  <si>
    <t>Data → Filter → Column P → Yes</t>
  </si>
  <si>
    <t>Filter to show only rows with Fraud_Flag = 'Yes'.</t>
  </si>
  <si>
    <t>Data → Sort → Column H → Z to A</t>
  </si>
  <si>
    <t>Sort entire table by Claim_Amount largest to smallest.</t>
  </si>
  <si>
    <t>Use DATEDIF to calculate days to settlement (Claim_Date to Settlement_Date).</t>
  </si>
  <si>
    <t>AVERAGEIF: average Claim_Amount for 'Pending' status.</t>
  </si>
  <si>
    <t>IF formula: if Status='Approved' show Settled_Amount else show 0.</t>
  </si>
  <si>
    <t>XLOOKUP: find the Policy_Type for ClaimID 'CLM5100'.</t>
  </si>
  <si>
    <t>VLOOKUP: find the Agent_Name for ClaimID 'CLM5050'.</t>
  </si>
  <si>
    <t>Count claims where Claim_Amount &gt; 100000 AND Status = 'Approved'.</t>
  </si>
  <si>
    <t>Sum Settled_Amount for 'Approved' claims from 'Motor' policy type.</t>
  </si>
  <si>
    <t xml:space="preserve">  ▶  MEDIUM QUESTIONS</t>
  </si>
  <si>
    <t>Count claims from Mumbai.</t>
  </si>
  <si>
    <t>Basic</t>
  </si>
  <si>
    <t>Use TODAY() to show current date.</t>
  </si>
  <si>
    <t>Use LEFT() to get first 3 chars of ClaimID.</t>
  </si>
  <si>
    <t>Use LEN() on Policyholder name in C2.</t>
  </si>
  <si>
    <t>Use UPPER() on Policy_Type in G2.</t>
  </si>
  <si>
    <t>Find AVERAGE Premium_Paid.</t>
  </si>
  <si>
    <t>Use COUNTA on Agent_Name column.</t>
  </si>
  <si>
    <t>Find MAX age of policyholders.</t>
  </si>
  <si>
    <t>Find SUM of Premium_Paid for 'Term Life' policies.</t>
  </si>
  <si>
    <t>How many male policyholders?</t>
  </si>
  <si>
    <t>Average Claim_Amount overall.</t>
  </si>
  <si>
    <t>How many claims are flagged as Fraud = 'Yes'?</t>
  </si>
  <si>
    <t>Find total Claim_Amount for 'Health' policy type.</t>
  </si>
  <si>
    <t>Count how many claims have Status = 'Rejected'.</t>
  </si>
  <si>
    <t>Count how many claims have Status = 'Approved'.</t>
  </si>
  <si>
    <t>Find the MIN Premium_Paid.</t>
  </si>
  <si>
    <t>Find the MAX Claim_Amount.</t>
  </si>
  <si>
    <t>Sum the total Settled_Amount.</t>
  </si>
  <si>
    <t>Sum the total Claim_Amount.</t>
  </si>
  <si>
    <t>Count total claims in this dataset.</t>
  </si>
  <si>
    <t xml:space="preserve">  ▶  BASIC QUESTIONS</t>
  </si>
  <si>
    <t>Your Answer (type formula here)</t>
  </si>
  <si>
    <t>Hint / Formula Guide</t>
  </si>
  <si>
    <t>Question</t>
  </si>
  <si>
    <t>Level</t>
  </si>
  <si>
    <t>#</t>
  </si>
  <si>
    <t>🟢 Basic = Green   🟡 Medium = Yellow   🟠 Intermediate = Orange   🔴 Hard = Red   |   Write your formula in Column E (Your Answer)</t>
  </si>
  <si>
    <t>📝 Practice Questions — DB3_InsuranceClaims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</si>
</sst>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8" x14ac:knownFonts="1">
    <font>
      <sz val="11"/>
      <color theme="1"/>
      <name val="Calibri"/>
      <family val="2"/>
      <scheme val="minor"/>
    </font>
    <font>
      <sz val="10"/>
      <name val="Calibri"/>
    </font>
    <font>
      <b/>
      <sz val="11"/>
      <color rgb="FFFFFFFF"/>
      <name val="Calibri"/>
    </font>
    <font>
      <i/>
      <sz val="9"/>
      <color rgb="FF595959"/>
      <name val="Calibri"/>
    </font>
    <font>
      <b/>
      <sz val="10"/>
      <color rgb="FF000000"/>
      <name val="Calibri"/>
    </font>
    <font>
      <b/>
      <sz val="10"/>
      <name val="Calibri"/>
    </font>
    <font>
      <i/>
      <sz val="9"/>
      <color rgb="FF444444"/>
      <name val="Calibri"/>
    </font>
    <font>
      <b/>
      <sz val="14"/>
      <color rgb="FFFFFFFF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EF9E7"/>
      </patternFill>
    </fill>
    <fill>
      <patternFill patternType="solid">
        <fgColor rgb="FF1F4E79"/>
      </patternFill>
    </fill>
    <fill>
      <patternFill patternType="solid">
        <fgColor rgb="FFF4CCCC"/>
      </patternFill>
    </fill>
    <fill>
      <patternFill patternType="solid">
        <fgColor rgb="FF632523"/>
      </patternFill>
    </fill>
    <fill>
      <patternFill patternType="solid">
        <fgColor rgb="FFFCE4D6"/>
      </patternFill>
    </fill>
    <fill>
      <patternFill patternType="solid">
        <fgColor rgb="FF843C0C"/>
      </patternFill>
    </fill>
    <fill>
      <patternFill patternType="solid">
        <fgColor rgb="FFFFF2CC"/>
      </patternFill>
    </fill>
    <fill>
      <patternFill patternType="solid">
        <fgColor rgb="FF7D4E1D"/>
      </patternFill>
    </fill>
    <fill>
      <patternFill patternType="solid">
        <fgColor rgb="FFE2EFDA"/>
      </patternFill>
    </fill>
    <fill>
      <patternFill patternType="solid">
        <fgColor rgb="FF375623"/>
      </patternFill>
    </fill>
    <fill>
      <patternFill patternType="solid">
        <fgColor rgb="FF2E75B6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left" vertical="center"/>
    </xf>
    <xf numFmtId="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4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0" fillId="2" borderId="2" xfId="0" applyFill="1" applyBorder="1"/>
    <xf numFmtId="0" fontId="3" fillId="5" borderId="2" xfId="0" applyFont="1" applyFill="1" applyBorder="1" applyAlignment="1">
      <alignment horizontal="left" vertical="center" wrapText="1"/>
    </xf>
    <xf numFmtId="0" fontId="1" fillId="5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0" fillId="0" borderId="0" xfId="0"/>
    <xf numFmtId="0" fontId="2" fillId="6" borderId="0" xfId="0" applyFont="1" applyFill="1" applyAlignment="1">
      <alignment vertical="center"/>
    </xf>
    <xf numFmtId="0" fontId="3" fillId="7" borderId="2" xfId="0" applyFont="1" applyFill="1" applyBorder="1" applyAlignment="1">
      <alignment horizontal="left" vertical="center" wrapText="1"/>
    </xf>
    <xf numFmtId="0" fontId="1" fillId="7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0" fontId="2" fillId="8" borderId="0" xfId="0" applyFont="1" applyFill="1" applyAlignment="1">
      <alignment vertical="center"/>
    </xf>
    <xf numFmtId="0" fontId="3" fillId="9" borderId="2" xfId="0" applyFont="1" applyFill="1" applyBorder="1" applyAlignment="1">
      <alignment horizontal="left" vertical="center" wrapText="1"/>
    </xf>
    <xf numFmtId="0" fontId="1" fillId="9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center"/>
    </xf>
    <xf numFmtId="0" fontId="5" fillId="9" borderId="2" xfId="0" applyFont="1" applyFill="1" applyBorder="1" applyAlignment="1">
      <alignment horizontal="center"/>
    </xf>
    <xf numFmtId="0" fontId="2" fillId="10" borderId="0" xfId="0" applyFont="1" applyFill="1" applyAlignment="1">
      <alignment vertical="center"/>
    </xf>
    <xf numFmtId="0" fontId="3" fillId="11" borderId="2" xfId="0" applyFont="1" applyFill="1" applyBorder="1" applyAlignment="1">
      <alignment horizontal="left" vertical="center" wrapText="1"/>
    </xf>
    <xf numFmtId="0" fontId="1" fillId="11" borderId="2" xfId="0" applyFont="1" applyFill="1" applyBorder="1" applyAlignment="1">
      <alignment horizontal="left" vertical="center" wrapText="1"/>
    </xf>
    <xf numFmtId="0" fontId="4" fillId="11" borderId="2" xfId="0" applyFont="1" applyFill="1" applyBorder="1" applyAlignment="1">
      <alignment horizontal="center"/>
    </xf>
    <xf numFmtId="0" fontId="5" fillId="11" borderId="2" xfId="0" applyFont="1" applyFill="1" applyBorder="1" applyAlignment="1">
      <alignment horizontal="center"/>
    </xf>
    <xf numFmtId="0" fontId="2" fillId="12" borderId="0" xfId="0" applyFont="1" applyFill="1" applyAlignment="1">
      <alignment vertical="center"/>
    </xf>
    <xf numFmtId="0" fontId="2" fillId="13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1E6EB-1356-45FE-8C99-3990A63E1AE5}">
  <dimension ref="A1:P25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2" width="10" customWidth="1"/>
    <col min="3" max="3" width="20" customWidth="1"/>
    <col min="4" max="4" width="6" customWidth="1"/>
    <col min="5" max="5" width="8" customWidth="1"/>
    <col min="6" max="6" width="12" customWidth="1"/>
    <col min="7" max="7" width="16" customWidth="1"/>
    <col min="8" max="10" width="14" customWidth="1"/>
    <col min="11" max="11" width="15" customWidth="1"/>
    <col min="12" max="12" width="12" customWidth="1"/>
    <col min="13" max="13" width="18" customWidth="1"/>
    <col min="14" max="14" width="14" customWidth="1"/>
    <col min="15" max="16" width="12" customWidth="1"/>
  </cols>
  <sheetData>
    <row r="1" spans="1:16" ht="28.05" customHeight="1" x14ac:dyDescent="0.3">
      <c r="A1" s="9" t="s">
        <v>565</v>
      </c>
      <c r="B1" s="9" t="s">
        <v>564</v>
      </c>
      <c r="C1" s="9" t="s">
        <v>563</v>
      </c>
      <c r="D1" s="9" t="s">
        <v>562</v>
      </c>
      <c r="E1" s="9" t="s">
        <v>561</v>
      </c>
      <c r="F1" s="9" t="s">
        <v>560</v>
      </c>
      <c r="G1" s="9" t="s">
        <v>559</v>
      </c>
      <c r="H1" s="9" t="s">
        <v>558</v>
      </c>
      <c r="I1" s="9" t="s">
        <v>557</v>
      </c>
      <c r="J1" s="9" t="s">
        <v>556</v>
      </c>
      <c r="K1" s="9" t="s">
        <v>555</v>
      </c>
      <c r="L1" s="9" t="s">
        <v>554</v>
      </c>
      <c r="M1" s="9" t="s">
        <v>553</v>
      </c>
      <c r="N1" s="9" t="s">
        <v>552</v>
      </c>
      <c r="O1" s="9" t="s">
        <v>551</v>
      </c>
      <c r="P1" s="9" t="s">
        <v>550</v>
      </c>
    </row>
    <row r="2" spans="1:16" ht="18" customHeight="1" x14ac:dyDescent="0.3">
      <c r="A2" s="7" t="s">
        <v>549</v>
      </c>
      <c r="B2" s="7" t="s">
        <v>548</v>
      </c>
      <c r="C2" s="5" t="s">
        <v>62</v>
      </c>
      <c r="D2" s="7">
        <v>40</v>
      </c>
      <c r="E2" s="5" t="s">
        <v>5</v>
      </c>
      <c r="F2" s="5" t="s">
        <v>61</v>
      </c>
      <c r="G2" s="5" t="s">
        <v>27</v>
      </c>
      <c r="H2" s="6">
        <v>102670.59</v>
      </c>
      <c r="I2" s="6">
        <v>0</v>
      </c>
      <c r="J2" s="8">
        <v>44759</v>
      </c>
      <c r="K2" s="7"/>
      <c r="L2" s="5" t="s">
        <v>10</v>
      </c>
      <c r="M2" s="5" t="s">
        <v>60</v>
      </c>
      <c r="N2" s="6">
        <v>41482.68</v>
      </c>
      <c r="O2" s="6">
        <v>6905.56</v>
      </c>
      <c r="P2" s="5" t="s">
        <v>0</v>
      </c>
    </row>
    <row r="3" spans="1:16" ht="18" customHeight="1" x14ac:dyDescent="0.3">
      <c r="A3" s="3" t="s">
        <v>547</v>
      </c>
      <c r="B3" s="3" t="s">
        <v>546</v>
      </c>
      <c r="C3" s="1" t="s">
        <v>57</v>
      </c>
      <c r="D3" s="3">
        <v>59</v>
      </c>
      <c r="E3" s="1" t="s">
        <v>21</v>
      </c>
      <c r="F3" s="1" t="s">
        <v>56</v>
      </c>
      <c r="G3" s="1" t="s">
        <v>19</v>
      </c>
      <c r="H3" s="2">
        <v>122716.21</v>
      </c>
      <c r="I3" s="2">
        <v>0</v>
      </c>
      <c r="J3" s="4">
        <v>45131</v>
      </c>
      <c r="K3" s="3"/>
      <c r="L3" s="1" t="s">
        <v>2</v>
      </c>
      <c r="M3" s="1" t="s">
        <v>55</v>
      </c>
      <c r="N3" s="2">
        <v>32271.23</v>
      </c>
      <c r="O3" s="2">
        <v>15350.93</v>
      </c>
      <c r="P3" s="1" t="s">
        <v>0</v>
      </c>
    </row>
    <row r="4" spans="1:16" ht="18" customHeight="1" x14ac:dyDescent="0.3">
      <c r="A4" s="7" t="s">
        <v>545</v>
      </c>
      <c r="B4" s="7" t="s">
        <v>544</v>
      </c>
      <c r="C4" s="5" t="s">
        <v>52</v>
      </c>
      <c r="D4" s="7">
        <v>73</v>
      </c>
      <c r="E4" s="5" t="s">
        <v>13</v>
      </c>
      <c r="F4" s="5" t="s">
        <v>51</v>
      </c>
      <c r="G4" s="5" t="s">
        <v>11</v>
      </c>
      <c r="H4" s="6">
        <v>478802.08</v>
      </c>
      <c r="I4" s="6">
        <v>0</v>
      </c>
      <c r="J4" s="8">
        <v>44738</v>
      </c>
      <c r="K4" s="7"/>
      <c r="L4" s="5" t="s">
        <v>26</v>
      </c>
      <c r="M4" s="5" t="s">
        <v>50</v>
      </c>
      <c r="N4" s="6">
        <v>40037.050000000003</v>
      </c>
      <c r="O4" s="6">
        <v>37674.35</v>
      </c>
      <c r="P4" s="5" t="s">
        <v>0</v>
      </c>
    </row>
    <row r="5" spans="1:16" ht="18" customHeight="1" x14ac:dyDescent="0.3">
      <c r="A5" s="3" t="s">
        <v>543</v>
      </c>
      <c r="B5" s="3" t="s">
        <v>542</v>
      </c>
      <c r="C5" s="1" t="s">
        <v>47</v>
      </c>
      <c r="D5" s="3">
        <v>31</v>
      </c>
      <c r="E5" s="1" t="s">
        <v>5</v>
      </c>
      <c r="F5" s="1" t="s">
        <v>46</v>
      </c>
      <c r="G5" s="1" t="s">
        <v>3</v>
      </c>
      <c r="H5" s="2">
        <v>169087.09</v>
      </c>
      <c r="I5" s="2">
        <v>93469.440000000002</v>
      </c>
      <c r="J5" s="4">
        <v>45126</v>
      </c>
      <c r="K5" s="4">
        <v>45240</v>
      </c>
      <c r="L5" s="1" t="s">
        <v>18</v>
      </c>
      <c r="M5" s="1" t="s">
        <v>45</v>
      </c>
      <c r="N5" s="2">
        <v>14496.99</v>
      </c>
      <c r="O5" s="2">
        <v>20366.48</v>
      </c>
      <c r="P5" s="1" t="s">
        <v>0</v>
      </c>
    </row>
    <row r="6" spans="1:16" ht="18" customHeight="1" x14ac:dyDescent="0.3">
      <c r="A6" s="7" t="s">
        <v>541</v>
      </c>
      <c r="B6" s="7" t="s">
        <v>540</v>
      </c>
      <c r="C6" s="5" t="s">
        <v>42</v>
      </c>
      <c r="D6" s="7">
        <v>25</v>
      </c>
      <c r="E6" s="5" t="s">
        <v>21</v>
      </c>
      <c r="F6" s="5" t="s">
        <v>41</v>
      </c>
      <c r="G6" s="5" t="s">
        <v>40</v>
      </c>
      <c r="H6" s="6">
        <v>423469.72</v>
      </c>
      <c r="I6" s="6">
        <v>0</v>
      </c>
      <c r="J6" s="8">
        <v>45275</v>
      </c>
      <c r="K6" s="7"/>
      <c r="L6" s="5" t="s">
        <v>10</v>
      </c>
      <c r="M6" s="5" t="s">
        <v>39</v>
      </c>
      <c r="N6" s="6">
        <v>28885</v>
      </c>
      <c r="O6" s="6">
        <v>48972.639999999999</v>
      </c>
      <c r="P6" s="5" t="s">
        <v>0</v>
      </c>
    </row>
    <row r="7" spans="1:16" ht="18" customHeight="1" x14ac:dyDescent="0.3">
      <c r="A7" s="3" t="s">
        <v>539</v>
      </c>
      <c r="B7" s="3" t="s">
        <v>538</v>
      </c>
      <c r="C7" s="1" t="s">
        <v>36</v>
      </c>
      <c r="D7" s="3">
        <v>26</v>
      </c>
      <c r="E7" s="1" t="s">
        <v>13</v>
      </c>
      <c r="F7" s="1" t="s">
        <v>35</v>
      </c>
      <c r="G7" s="1" t="s">
        <v>34</v>
      </c>
      <c r="H7" s="2">
        <v>420546</v>
      </c>
      <c r="I7" s="2">
        <v>0</v>
      </c>
      <c r="J7" s="4">
        <v>45286</v>
      </c>
      <c r="K7" s="3"/>
      <c r="L7" s="1" t="s">
        <v>2</v>
      </c>
      <c r="M7" s="1" t="s">
        <v>33</v>
      </c>
      <c r="N7" s="2">
        <v>37505.53</v>
      </c>
      <c r="O7" s="2">
        <v>67905.58</v>
      </c>
      <c r="P7" s="1" t="s">
        <v>0</v>
      </c>
    </row>
    <row r="8" spans="1:16" ht="18" customHeight="1" x14ac:dyDescent="0.3">
      <c r="A8" s="7" t="s">
        <v>537</v>
      </c>
      <c r="B8" s="7" t="s">
        <v>536</v>
      </c>
      <c r="C8" s="5" t="s">
        <v>29</v>
      </c>
      <c r="D8" s="7">
        <v>56</v>
      </c>
      <c r="E8" s="5" t="s">
        <v>5</v>
      </c>
      <c r="F8" s="5" t="s">
        <v>28</v>
      </c>
      <c r="G8" s="5" t="s">
        <v>27</v>
      </c>
      <c r="H8" s="6">
        <v>233313.03</v>
      </c>
      <c r="I8" s="6">
        <v>0</v>
      </c>
      <c r="J8" s="8">
        <v>44643</v>
      </c>
      <c r="K8" s="7"/>
      <c r="L8" s="5" t="s">
        <v>26</v>
      </c>
      <c r="M8" s="5" t="s">
        <v>25</v>
      </c>
      <c r="N8" s="6">
        <v>46009.32</v>
      </c>
      <c r="O8" s="6">
        <v>39109.82</v>
      </c>
      <c r="P8" s="5" t="s">
        <v>0</v>
      </c>
    </row>
    <row r="9" spans="1:16" ht="18" customHeight="1" x14ac:dyDescent="0.3">
      <c r="A9" s="3" t="s">
        <v>535</v>
      </c>
      <c r="B9" s="3" t="s">
        <v>534</v>
      </c>
      <c r="C9" s="1" t="s">
        <v>22</v>
      </c>
      <c r="D9" s="3">
        <v>48</v>
      </c>
      <c r="E9" s="1" t="s">
        <v>21</v>
      </c>
      <c r="F9" s="1" t="s">
        <v>20</v>
      </c>
      <c r="G9" s="1" t="s">
        <v>19</v>
      </c>
      <c r="H9" s="2">
        <v>315399.21999999997</v>
      </c>
      <c r="I9" s="2">
        <v>288236.46999999997</v>
      </c>
      <c r="J9" s="4">
        <v>44686</v>
      </c>
      <c r="K9" s="4">
        <v>44745</v>
      </c>
      <c r="L9" s="1" t="s">
        <v>18</v>
      </c>
      <c r="M9" s="1" t="s">
        <v>17</v>
      </c>
      <c r="N9" s="2">
        <v>46968.94</v>
      </c>
      <c r="O9" s="2">
        <v>18437.939999999999</v>
      </c>
      <c r="P9" s="1" t="s">
        <v>0</v>
      </c>
    </row>
    <row r="10" spans="1:16" ht="18" customHeight="1" x14ac:dyDescent="0.3">
      <c r="A10" s="7" t="s">
        <v>533</v>
      </c>
      <c r="B10" s="7" t="s">
        <v>532</v>
      </c>
      <c r="C10" s="5" t="s">
        <v>14</v>
      </c>
      <c r="D10" s="7">
        <v>68</v>
      </c>
      <c r="E10" s="5" t="s">
        <v>13</v>
      </c>
      <c r="F10" s="5" t="s">
        <v>12</v>
      </c>
      <c r="G10" s="5" t="s">
        <v>11</v>
      </c>
      <c r="H10" s="6">
        <v>293345.89</v>
      </c>
      <c r="I10" s="6">
        <v>0</v>
      </c>
      <c r="J10" s="8">
        <v>45182</v>
      </c>
      <c r="K10" s="7"/>
      <c r="L10" s="5" t="s">
        <v>10</v>
      </c>
      <c r="M10" s="5" t="s">
        <v>9</v>
      </c>
      <c r="N10" s="6">
        <v>27486.48</v>
      </c>
      <c r="O10" s="6">
        <v>24310.71</v>
      </c>
      <c r="P10" s="5" t="s">
        <v>0</v>
      </c>
    </row>
    <row r="11" spans="1:16" ht="18" customHeight="1" x14ac:dyDescent="0.3">
      <c r="A11" s="3" t="s">
        <v>531</v>
      </c>
      <c r="B11" s="3" t="s">
        <v>530</v>
      </c>
      <c r="C11" s="1" t="s">
        <v>6</v>
      </c>
      <c r="D11" s="3">
        <v>69</v>
      </c>
      <c r="E11" s="1" t="s">
        <v>5</v>
      </c>
      <c r="F11" s="1" t="s">
        <v>4</v>
      </c>
      <c r="G11" s="1" t="s">
        <v>3</v>
      </c>
      <c r="H11" s="2">
        <v>402908.89</v>
      </c>
      <c r="I11" s="2">
        <v>0</v>
      </c>
      <c r="J11" s="4">
        <v>44575</v>
      </c>
      <c r="K11" s="3"/>
      <c r="L11" s="1" t="s">
        <v>2</v>
      </c>
      <c r="M11" s="1" t="s">
        <v>1</v>
      </c>
      <c r="N11" s="2">
        <v>47467.63</v>
      </c>
      <c r="O11" s="2">
        <v>22266.58</v>
      </c>
      <c r="P11" s="1" t="s">
        <v>0</v>
      </c>
    </row>
    <row r="12" spans="1:16" ht="18" customHeight="1" x14ac:dyDescent="0.3">
      <c r="A12" s="7" t="s">
        <v>529</v>
      </c>
      <c r="B12" s="7" t="s">
        <v>528</v>
      </c>
      <c r="C12" s="5" t="s">
        <v>77</v>
      </c>
      <c r="D12" s="7">
        <v>67</v>
      </c>
      <c r="E12" s="5" t="s">
        <v>21</v>
      </c>
      <c r="F12" s="5" t="s">
        <v>61</v>
      </c>
      <c r="G12" s="5" t="s">
        <v>40</v>
      </c>
      <c r="H12" s="6">
        <v>182235.59</v>
      </c>
      <c r="I12" s="6">
        <v>0</v>
      </c>
      <c r="J12" s="8">
        <v>45005</v>
      </c>
      <c r="K12" s="7"/>
      <c r="L12" s="5" t="s">
        <v>26</v>
      </c>
      <c r="M12" s="5" t="s">
        <v>60</v>
      </c>
      <c r="N12" s="6">
        <v>7659.09</v>
      </c>
      <c r="O12" s="6">
        <v>36054.230000000003</v>
      </c>
      <c r="P12" s="5" t="s">
        <v>0</v>
      </c>
    </row>
    <row r="13" spans="1:16" ht="18" customHeight="1" x14ac:dyDescent="0.3">
      <c r="A13" s="3" t="s">
        <v>527</v>
      </c>
      <c r="B13" s="3" t="s">
        <v>526</v>
      </c>
      <c r="C13" s="1" t="s">
        <v>74</v>
      </c>
      <c r="D13" s="3">
        <v>23</v>
      </c>
      <c r="E13" s="1" t="s">
        <v>13</v>
      </c>
      <c r="F13" s="1" t="s">
        <v>56</v>
      </c>
      <c r="G13" s="1" t="s">
        <v>34</v>
      </c>
      <c r="H13" s="2">
        <v>327072.68</v>
      </c>
      <c r="I13" s="2">
        <v>284608.31</v>
      </c>
      <c r="J13" s="4">
        <v>45232</v>
      </c>
      <c r="K13" s="4">
        <v>45259</v>
      </c>
      <c r="L13" s="1" t="s">
        <v>18</v>
      </c>
      <c r="M13" s="1" t="s">
        <v>55</v>
      </c>
      <c r="N13" s="2">
        <v>9075.67</v>
      </c>
      <c r="O13" s="2">
        <v>42413.57</v>
      </c>
      <c r="P13" s="1" t="s">
        <v>32</v>
      </c>
    </row>
    <row r="14" spans="1:16" ht="18" customHeight="1" x14ac:dyDescent="0.3">
      <c r="A14" s="7" t="s">
        <v>525</v>
      </c>
      <c r="B14" s="7" t="s">
        <v>524</v>
      </c>
      <c r="C14" s="5" t="s">
        <v>71</v>
      </c>
      <c r="D14" s="7">
        <v>42</v>
      </c>
      <c r="E14" s="5" t="s">
        <v>5</v>
      </c>
      <c r="F14" s="5" t="s">
        <v>51</v>
      </c>
      <c r="G14" s="5" t="s">
        <v>27</v>
      </c>
      <c r="H14" s="6">
        <v>462213.28</v>
      </c>
      <c r="I14" s="6">
        <v>0</v>
      </c>
      <c r="J14" s="8">
        <v>44987</v>
      </c>
      <c r="K14" s="7"/>
      <c r="L14" s="5" t="s">
        <v>10</v>
      </c>
      <c r="M14" s="5" t="s">
        <v>50</v>
      </c>
      <c r="N14" s="6">
        <v>29628</v>
      </c>
      <c r="O14" s="6">
        <v>27422.99</v>
      </c>
      <c r="P14" s="5" t="s">
        <v>0</v>
      </c>
    </row>
    <row r="15" spans="1:16" ht="18" customHeight="1" x14ac:dyDescent="0.3">
      <c r="A15" s="3" t="s">
        <v>523</v>
      </c>
      <c r="B15" s="3" t="s">
        <v>522</v>
      </c>
      <c r="C15" s="1" t="s">
        <v>68</v>
      </c>
      <c r="D15" s="3">
        <v>64</v>
      </c>
      <c r="E15" s="1" t="s">
        <v>21</v>
      </c>
      <c r="F15" s="1" t="s">
        <v>46</v>
      </c>
      <c r="G15" s="1" t="s">
        <v>19</v>
      </c>
      <c r="H15" s="2">
        <v>9062.93</v>
      </c>
      <c r="I15" s="2">
        <v>0</v>
      </c>
      <c r="J15" s="4">
        <v>44652</v>
      </c>
      <c r="K15" s="3"/>
      <c r="L15" s="1" t="s">
        <v>2</v>
      </c>
      <c r="M15" s="1" t="s">
        <v>45</v>
      </c>
      <c r="N15" s="2">
        <v>33994.74</v>
      </c>
      <c r="O15" s="2">
        <v>1087.01</v>
      </c>
      <c r="P15" s="1" t="s">
        <v>0</v>
      </c>
    </row>
    <row r="16" spans="1:16" ht="18" customHeight="1" x14ac:dyDescent="0.3">
      <c r="A16" s="7" t="s">
        <v>521</v>
      </c>
      <c r="B16" s="7" t="s">
        <v>520</v>
      </c>
      <c r="C16" s="5" t="s">
        <v>65</v>
      </c>
      <c r="D16" s="7">
        <v>26</v>
      </c>
      <c r="E16" s="5" t="s">
        <v>13</v>
      </c>
      <c r="F16" s="5" t="s">
        <v>41</v>
      </c>
      <c r="G16" s="5" t="s">
        <v>11</v>
      </c>
      <c r="H16" s="6">
        <v>442460.25</v>
      </c>
      <c r="I16" s="6">
        <v>0</v>
      </c>
      <c r="J16" s="8">
        <v>44700</v>
      </c>
      <c r="K16" s="7"/>
      <c r="L16" s="5" t="s">
        <v>26</v>
      </c>
      <c r="M16" s="5" t="s">
        <v>39</v>
      </c>
      <c r="N16" s="6">
        <v>13490.13</v>
      </c>
      <c r="O16" s="6">
        <v>36056.03</v>
      </c>
      <c r="P16" s="5" t="s">
        <v>0</v>
      </c>
    </row>
    <row r="17" spans="1:16" ht="18" customHeight="1" x14ac:dyDescent="0.3">
      <c r="A17" s="3" t="s">
        <v>519</v>
      </c>
      <c r="B17" s="3" t="s">
        <v>518</v>
      </c>
      <c r="C17" s="1" t="s">
        <v>62</v>
      </c>
      <c r="D17" s="3">
        <v>30</v>
      </c>
      <c r="E17" s="1" t="s">
        <v>5</v>
      </c>
      <c r="F17" s="1" t="s">
        <v>35</v>
      </c>
      <c r="G17" s="1" t="s">
        <v>3</v>
      </c>
      <c r="H17" s="2">
        <v>78832.84</v>
      </c>
      <c r="I17" s="2">
        <v>41208.639999999999</v>
      </c>
      <c r="J17" s="4">
        <v>44800</v>
      </c>
      <c r="K17" s="4">
        <v>44900</v>
      </c>
      <c r="L17" s="1" t="s">
        <v>18</v>
      </c>
      <c r="M17" s="1" t="s">
        <v>33</v>
      </c>
      <c r="N17" s="2">
        <v>26072.560000000001</v>
      </c>
      <c r="O17" s="2">
        <v>8425.24</v>
      </c>
      <c r="P17" s="1" t="s">
        <v>0</v>
      </c>
    </row>
    <row r="18" spans="1:16" ht="18" customHeight="1" x14ac:dyDescent="0.3">
      <c r="A18" s="7" t="s">
        <v>517</v>
      </c>
      <c r="B18" s="7" t="s">
        <v>516</v>
      </c>
      <c r="C18" s="5" t="s">
        <v>57</v>
      </c>
      <c r="D18" s="7">
        <v>46</v>
      </c>
      <c r="E18" s="5" t="s">
        <v>21</v>
      </c>
      <c r="F18" s="5" t="s">
        <v>28</v>
      </c>
      <c r="G18" s="5" t="s">
        <v>40</v>
      </c>
      <c r="H18" s="6">
        <v>247312.59</v>
      </c>
      <c r="I18" s="6">
        <v>0</v>
      </c>
      <c r="J18" s="8">
        <v>44836</v>
      </c>
      <c r="K18" s="7"/>
      <c r="L18" s="5" t="s">
        <v>10</v>
      </c>
      <c r="M18" s="5" t="s">
        <v>25</v>
      </c>
      <c r="N18" s="6">
        <v>30716.7</v>
      </c>
      <c r="O18" s="6">
        <v>45210.03</v>
      </c>
      <c r="P18" s="5" t="s">
        <v>0</v>
      </c>
    </row>
    <row r="19" spans="1:16" ht="18" customHeight="1" x14ac:dyDescent="0.3">
      <c r="A19" s="3" t="s">
        <v>515</v>
      </c>
      <c r="B19" s="3" t="s">
        <v>514</v>
      </c>
      <c r="C19" s="1" t="s">
        <v>52</v>
      </c>
      <c r="D19" s="3">
        <v>38</v>
      </c>
      <c r="E19" s="1" t="s">
        <v>13</v>
      </c>
      <c r="F19" s="1" t="s">
        <v>20</v>
      </c>
      <c r="G19" s="1" t="s">
        <v>34</v>
      </c>
      <c r="H19" s="2">
        <v>272772.5</v>
      </c>
      <c r="I19" s="2">
        <v>0</v>
      </c>
      <c r="J19" s="4">
        <v>44856</v>
      </c>
      <c r="K19" s="3"/>
      <c r="L19" s="1" t="s">
        <v>2</v>
      </c>
      <c r="M19" s="1" t="s">
        <v>17</v>
      </c>
      <c r="N19" s="2">
        <v>23779.41</v>
      </c>
      <c r="O19" s="2">
        <v>21376.45</v>
      </c>
      <c r="P19" s="1" t="s">
        <v>0</v>
      </c>
    </row>
    <row r="20" spans="1:16" ht="18" customHeight="1" x14ac:dyDescent="0.3">
      <c r="A20" s="7" t="s">
        <v>513</v>
      </c>
      <c r="B20" s="7" t="s">
        <v>512</v>
      </c>
      <c r="C20" s="5" t="s">
        <v>47</v>
      </c>
      <c r="D20" s="7">
        <v>22</v>
      </c>
      <c r="E20" s="5" t="s">
        <v>5</v>
      </c>
      <c r="F20" s="5" t="s">
        <v>12</v>
      </c>
      <c r="G20" s="5" t="s">
        <v>27</v>
      </c>
      <c r="H20" s="6">
        <v>14311.81</v>
      </c>
      <c r="I20" s="6">
        <v>0</v>
      </c>
      <c r="J20" s="8">
        <v>44706</v>
      </c>
      <c r="K20" s="7"/>
      <c r="L20" s="5" t="s">
        <v>26</v>
      </c>
      <c r="M20" s="5" t="s">
        <v>9</v>
      </c>
      <c r="N20" s="6">
        <v>2423.4499999999998</v>
      </c>
      <c r="O20" s="6">
        <v>2129.5300000000002</v>
      </c>
      <c r="P20" s="5" t="s">
        <v>0</v>
      </c>
    </row>
    <row r="21" spans="1:16" ht="18" customHeight="1" x14ac:dyDescent="0.3">
      <c r="A21" s="3" t="s">
        <v>511</v>
      </c>
      <c r="B21" s="3" t="s">
        <v>510</v>
      </c>
      <c r="C21" s="1" t="s">
        <v>42</v>
      </c>
      <c r="D21" s="3">
        <v>63</v>
      </c>
      <c r="E21" s="1" t="s">
        <v>21</v>
      </c>
      <c r="F21" s="1" t="s">
        <v>4</v>
      </c>
      <c r="G21" s="1" t="s">
        <v>19</v>
      </c>
      <c r="H21" s="2">
        <v>46126.93</v>
      </c>
      <c r="I21" s="2">
        <v>31888.66</v>
      </c>
      <c r="J21" s="4">
        <v>44673</v>
      </c>
      <c r="K21" s="4">
        <v>44773</v>
      </c>
      <c r="L21" s="1" t="s">
        <v>18</v>
      </c>
      <c r="M21" s="1" t="s">
        <v>1</v>
      </c>
      <c r="N21" s="2">
        <v>20446.52</v>
      </c>
      <c r="O21" s="2">
        <v>5490.83</v>
      </c>
      <c r="P21" s="1" t="s">
        <v>0</v>
      </c>
    </row>
    <row r="22" spans="1:16" ht="18" customHeight="1" x14ac:dyDescent="0.3">
      <c r="A22" s="7" t="s">
        <v>509</v>
      </c>
      <c r="B22" s="7" t="s">
        <v>508</v>
      </c>
      <c r="C22" s="5" t="s">
        <v>36</v>
      </c>
      <c r="D22" s="7">
        <v>32</v>
      </c>
      <c r="E22" s="5" t="s">
        <v>13</v>
      </c>
      <c r="F22" s="5" t="s">
        <v>61</v>
      </c>
      <c r="G22" s="5" t="s">
        <v>11</v>
      </c>
      <c r="H22" s="6">
        <v>439255.7</v>
      </c>
      <c r="I22" s="6">
        <v>0</v>
      </c>
      <c r="J22" s="8">
        <v>45227</v>
      </c>
      <c r="K22" s="7"/>
      <c r="L22" s="5" t="s">
        <v>10</v>
      </c>
      <c r="M22" s="5" t="s">
        <v>60</v>
      </c>
      <c r="N22" s="6">
        <v>22549.35</v>
      </c>
      <c r="O22" s="6">
        <v>38503.050000000003</v>
      </c>
      <c r="P22" s="5" t="s">
        <v>0</v>
      </c>
    </row>
    <row r="23" spans="1:16" ht="18" customHeight="1" x14ac:dyDescent="0.3">
      <c r="A23" s="3" t="s">
        <v>507</v>
      </c>
      <c r="B23" s="3" t="s">
        <v>506</v>
      </c>
      <c r="C23" s="1" t="s">
        <v>29</v>
      </c>
      <c r="D23" s="3">
        <v>74</v>
      </c>
      <c r="E23" s="1" t="s">
        <v>5</v>
      </c>
      <c r="F23" s="1" t="s">
        <v>56</v>
      </c>
      <c r="G23" s="1" t="s">
        <v>3</v>
      </c>
      <c r="H23" s="2">
        <v>264189.90000000002</v>
      </c>
      <c r="I23" s="2">
        <v>0</v>
      </c>
      <c r="J23" s="4">
        <v>44884</v>
      </c>
      <c r="K23" s="3"/>
      <c r="L23" s="1" t="s">
        <v>2</v>
      </c>
      <c r="M23" s="1" t="s">
        <v>55</v>
      </c>
      <c r="N23" s="2">
        <v>45866.17</v>
      </c>
      <c r="O23" s="2">
        <v>43956.03</v>
      </c>
      <c r="P23" s="1" t="s">
        <v>0</v>
      </c>
    </row>
    <row r="24" spans="1:16" ht="18" customHeight="1" x14ac:dyDescent="0.3">
      <c r="A24" s="7" t="s">
        <v>505</v>
      </c>
      <c r="B24" s="7" t="s">
        <v>504</v>
      </c>
      <c r="C24" s="5" t="s">
        <v>22</v>
      </c>
      <c r="D24" s="7">
        <v>50</v>
      </c>
      <c r="E24" s="5" t="s">
        <v>21</v>
      </c>
      <c r="F24" s="5" t="s">
        <v>51</v>
      </c>
      <c r="G24" s="5" t="s">
        <v>40</v>
      </c>
      <c r="H24" s="6">
        <v>492585.75</v>
      </c>
      <c r="I24" s="6">
        <v>0</v>
      </c>
      <c r="J24" s="8">
        <v>45233</v>
      </c>
      <c r="K24" s="7"/>
      <c r="L24" s="5" t="s">
        <v>26</v>
      </c>
      <c r="M24" s="5" t="s">
        <v>50</v>
      </c>
      <c r="N24" s="6">
        <v>27172.01</v>
      </c>
      <c r="O24" s="6">
        <v>61892.76</v>
      </c>
      <c r="P24" s="5" t="s">
        <v>0</v>
      </c>
    </row>
    <row r="25" spans="1:16" ht="18" customHeight="1" x14ac:dyDescent="0.3">
      <c r="A25" s="3" t="s">
        <v>503</v>
      </c>
      <c r="B25" s="3" t="s">
        <v>502</v>
      </c>
      <c r="C25" s="1" t="s">
        <v>14</v>
      </c>
      <c r="D25" s="3">
        <v>44</v>
      </c>
      <c r="E25" s="1" t="s">
        <v>13</v>
      </c>
      <c r="F25" s="1" t="s">
        <v>46</v>
      </c>
      <c r="G25" s="1" t="s">
        <v>34</v>
      </c>
      <c r="H25" s="2">
        <v>485363.4</v>
      </c>
      <c r="I25" s="2">
        <v>433876.24</v>
      </c>
      <c r="J25" s="4">
        <v>45285</v>
      </c>
      <c r="K25" s="4">
        <v>45384</v>
      </c>
      <c r="L25" s="1" t="s">
        <v>18</v>
      </c>
      <c r="M25" s="1" t="s">
        <v>45</v>
      </c>
      <c r="N25" s="2">
        <v>16840.8</v>
      </c>
      <c r="O25" s="2">
        <v>30011.69</v>
      </c>
      <c r="P25" s="1" t="s">
        <v>0</v>
      </c>
    </row>
    <row r="26" spans="1:16" ht="18" customHeight="1" x14ac:dyDescent="0.3">
      <c r="A26" s="7" t="s">
        <v>501</v>
      </c>
      <c r="B26" s="7" t="s">
        <v>500</v>
      </c>
      <c r="C26" s="5" t="s">
        <v>6</v>
      </c>
      <c r="D26" s="7">
        <v>28</v>
      </c>
      <c r="E26" s="5" t="s">
        <v>5</v>
      </c>
      <c r="F26" s="5" t="s">
        <v>41</v>
      </c>
      <c r="G26" s="5" t="s">
        <v>27</v>
      </c>
      <c r="H26" s="6">
        <v>182982.51</v>
      </c>
      <c r="I26" s="6">
        <v>0</v>
      </c>
      <c r="J26" s="8">
        <v>45274</v>
      </c>
      <c r="K26" s="7"/>
      <c r="L26" s="5" t="s">
        <v>10</v>
      </c>
      <c r="M26" s="5" t="s">
        <v>39</v>
      </c>
      <c r="N26" s="6">
        <v>4351.8100000000004</v>
      </c>
      <c r="O26" s="6">
        <v>34154.33</v>
      </c>
      <c r="P26" s="5" t="s">
        <v>0</v>
      </c>
    </row>
    <row r="27" spans="1:16" ht="18" customHeight="1" x14ac:dyDescent="0.3">
      <c r="A27" s="3" t="s">
        <v>499</v>
      </c>
      <c r="B27" s="3" t="s">
        <v>498</v>
      </c>
      <c r="C27" s="1" t="s">
        <v>77</v>
      </c>
      <c r="D27" s="3">
        <v>58</v>
      </c>
      <c r="E27" s="1" t="s">
        <v>21</v>
      </c>
      <c r="F27" s="1" t="s">
        <v>35</v>
      </c>
      <c r="G27" s="1" t="s">
        <v>19</v>
      </c>
      <c r="H27" s="2">
        <v>340164.53</v>
      </c>
      <c r="I27" s="2">
        <v>0</v>
      </c>
      <c r="J27" s="4">
        <v>44620</v>
      </c>
      <c r="K27" s="3"/>
      <c r="L27" s="1" t="s">
        <v>2</v>
      </c>
      <c r="M27" s="1" t="s">
        <v>33</v>
      </c>
      <c r="N27" s="2">
        <v>27330.03</v>
      </c>
      <c r="O27" s="2">
        <v>60686.52</v>
      </c>
      <c r="P27" s="1" t="s">
        <v>0</v>
      </c>
    </row>
    <row r="28" spans="1:16" ht="18" customHeight="1" x14ac:dyDescent="0.3">
      <c r="A28" s="7" t="s">
        <v>497</v>
      </c>
      <c r="B28" s="7" t="s">
        <v>496</v>
      </c>
      <c r="C28" s="5" t="s">
        <v>74</v>
      </c>
      <c r="D28" s="7">
        <v>60</v>
      </c>
      <c r="E28" s="5" t="s">
        <v>13</v>
      </c>
      <c r="F28" s="5" t="s">
        <v>28</v>
      </c>
      <c r="G28" s="5" t="s">
        <v>11</v>
      </c>
      <c r="H28" s="6">
        <v>347439.22</v>
      </c>
      <c r="I28" s="6">
        <v>0</v>
      </c>
      <c r="J28" s="8">
        <v>44692</v>
      </c>
      <c r="K28" s="7"/>
      <c r="L28" s="5" t="s">
        <v>26</v>
      </c>
      <c r="M28" s="5" t="s">
        <v>25</v>
      </c>
      <c r="N28" s="6">
        <v>15005.04</v>
      </c>
      <c r="O28" s="6">
        <v>25759.84</v>
      </c>
      <c r="P28" s="5" t="s">
        <v>0</v>
      </c>
    </row>
    <row r="29" spans="1:16" ht="18" customHeight="1" x14ac:dyDescent="0.3">
      <c r="A29" s="3" t="s">
        <v>495</v>
      </c>
      <c r="B29" s="3" t="s">
        <v>494</v>
      </c>
      <c r="C29" s="1" t="s">
        <v>71</v>
      </c>
      <c r="D29" s="3">
        <v>63</v>
      </c>
      <c r="E29" s="1" t="s">
        <v>5</v>
      </c>
      <c r="F29" s="1" t="s">
        <v>20</v>
      </c>
      <c r="G29" s="1" t="s">
        <v>3</v>
      </c>
      <c r="H29" s="2">
        <v>260248.37</v>
      </c>
      <c r="I29" s="2">
        <v>203197.78</v>
      </c>
      <c r="J29" s="4">
        <v>44947</v>
      </c>
      <c r="K29" s="4">
        <v>44973</v>
      </c>
      <c r="L29" s="1" t="s">
        <v>18</v>
      </c>
      <c r="M29" s="1" t="s">
        <v>17</v>
      </c>
      <c r="N29" s="2">
        <v>44227.49</v>
      </c>
      <c r="O29" s="2">
        <v>24740.18</v>
      </c>
      <c r="P29" s="1" t="s">
        <v>0</v>
      </c>
    </row>
    <row r="30" spans="1:16" ht="18" customHeight="1" x14ac:dyDescent="0.3">
      <c r="A30" s="7" t="s">
        <v>493</v>
      </c>
      <c r="B30" s="7" t="s">
        <v>492</v>
      </c>
      <c r="C30" s="5" t="s">
        <v>68</v>
      </c>
      <c r="D30" s="7">
        <v>59</v>
      </c>
      <c r="E30" s="5" t="s">
        <v>21</v>
      </c>
      <c r="F30" s="5" t="s">
        <v>12</v>
      </c>
      <c r="G30" s="5" t="s">
        <v>40</v>
      </c>
      <c r="H30" s="6">
        <v>369740.65</v>
      </c>
      <c r="I30" s="6">
        <v>0</v>
      </c>
      <c r="J30" s="8">
        <v>44567</v>
      </c>
      <c r="K30" s="7"/>
      <c r="L30" s="5" t="s">
        <v>10</v>
      </c>
      <c r="M30" s="5" t="s">
        <v>9</v>
      </c>
      <c r="N30" s="6">
        <v>4263.57</v>
      </c>
      <c r="O30" s="6">
        <v>59999.040000000001</v>
      </c>
      <c r="P30" s="5" t="s">
        <v>0</v>
      </c>
    </row>
    <row r="31" spans="1:16" ht="18" customHeight="1" x14ac:dyDescent="0.3">
      <c r="A31" s="3" t="s">
        <v>491</v>
      </c>
      <c r="B31" s="3" t="s">
        <v>490</v>
      </c>
      <c r="C31" s="1" t="s">
        <v>65</v>
      </c>
      <c r="D31" s="3">
        <v>70</v>
      </c>
      <c r="E31" s="1" t="s">
        <v>13</v>
      </c>
      <c r="F31" s="1" t="s">
        <v>4</v>
      </c>
      <c r="G31" s="1" t="s">
        <v>34</v>
      </c>
      <c r="H31" s="2">
        <v>490699.2</v>
      </c>
      <c r="I31" s="2">
        <v>0</v>
      </c>
      <c r="J31" s="4">
        <v>44640</v>
      </c>
      <c r="K31" s="3"/>
      <c r="L31" s="1" t="s">
        <v>2</v>
      </c>
      <c r="M31" s="1" t="s">
        <v>1</v>
      </c>
      <c r="N31" s="2">
        <v>22633.4</v>
      </c>
      <c r="O31" s="2">
        <v>32599.88</v>
      </c>
      <c r="P31" s="1" t="s">
        <v>0</v>
      </c>
    </row>
    <row r="32" spans="1:16" ht="18" customHeight="1" x14ac:dyDescent="0.3">
      <c r="A32" s="7" t="s">
        <v>489</v>
      </c>
      <c r="B32" s="7" t="s">
        <v>488</v>
      </c>
      <c r="C32" s="5" t="s">
        <v>62</v>
      </c>
      <c r="D32" s="7">
        <v>22</v>
      </c>
      <c r="E32" s="5" t="s">
        <v>5</v>
      </c>
      <c r="F32" s="5" t="s">
        <v>61</v>
      </c>
      <c r="G32" s="5" t="s">
        <v>27</v>
      </c>
      <c r="H32" s="6">
        <v>460833.29</v>
      </c>
      <c r="I32" s="6">
        <v>0</v>
      </c>
      <c r="J32" s="8">
        <v>45214</v>
      </c>
      <c r="K32" s="7"/>
      <c r="L32" s="5" t="s">
        <v>26</v>
      </c>
      <c r="M32" s="5" t="s">
        <v>60</v>
      </c>
      <c r="N32" s="6">
        <v>40754.449999999997</v>
      </c>
      <c r="O32" s="6">
        <v>79558.09</v>
      </c>
      <c r="P32" s="5" t="s">
        <v>0</v>
      </c>
    </row>
    <row r="33" spans="1:16" ht="18" customHeight="1" x14ac:dyDescent="0.3">
      <c r="A33" s="3" t="s">
        <v>487</v>
      </c>
      <c r="B33" s="3" t="s">
        <v>486</v>
      </c>
      <c r="C33" s="1" t="s">
        <v>57</v>
      </c>
      <c r="D33" s="3">
        <v>72</v>
      </c>
      <c r="E33" s="1" t="s">
        <v>21</v>
      </c>
      <c r="F33" s="1" t="s">
        <v>56</v>
      </c>
      <c r="G33" s="1" t="s">
        <v>19</v>
      </c>
      <c r="H33" s="2">
        <v>91359.33</v>
      </c>
      <c r="I33" s="2">
        <v>82332.600000000006</v>
      </c>
      <c r="J33" s="4">
        <v>44651</v>
      </c>
      <c r="K33" s="4">
        <v>44674</v>
      </c>
      <c r="L33" s="1" t="s">
        <v>18</v>
      </c>
      <c r="M33" s="1" t="s">
        <v>55</v>
      </c>
      <c r="N33" s="2">
        <v>4163.18</v>
      </c>
      <c r="O33" s="2">
        <v>18257.63</v>
      </c>
      <c r="P33" s="1" t="s">
        <v>0</v>
      </c>
    </row>
    <row r="34" spans="1:16" ht="18" customHeight="1" x14ac:dyDescent="0.3">
      <c r="A34" s="7" t="s">
        <v>485</v>
      </c>
      <c r="B34" s="7" t="s">
        <v>484</v>
      </c>
      <c r="C34" s="5" t="s">
        <v>52</v>
      </c>
      <c r="D34" s="7">
        <v>65</v>
      </c>
      <c r="E34" s="5" t="s">
        <v>13</v>
      </c>
      <c r="F34" s="5" t="s">
        <v>51</v>
      </c>
      <c r="G34" s="5" t="s">
        <v>11</v>
      </c>
      <c r="H34" s="6">
        <v>40414.71</v>
      </c>
      <c r="I34" s="6">
        <v>0</v>
      </c>
      <c r="J34" s="8">
        <v>45055</v>
      </c>
      <c r="K34" s="7"/>
      <c r="L34" s="5" t="s">
        <v>10</v>
      </c>
      <c r="M34" s="5" t="s">
        <v>50</v>
      </c>
      <c r="N34" s="6">
        <v>11791.73</v>
      </c>
      <c r="O34" s="6">
        <v>5462.89</v>
      </c>
      <c r="P34" s="5" t="s">
        <v>0</v>
      </c>
    </row>
    <row r="35" spans="1:16" ht="18" customHeight="1" x14ac:dyDescent="0.3">
      <c r="A35" s="3" t="s">
        <v>483</v>
      </c>
      <c r="B35" s="3" t="s">
        <v>482</v>
      </c>
      <c r="C35" s="1" t="s">
        <v>47</v>
      </c>
      <c r="D35" s="3">
        <v>50</v>
      </c>
      <c r="E35" s="1" t="s">
        <v>5</v>
      </c>
      <c r="F35" s="1" t="s">
        <v>46</v>
      </c>
      <c r="G35" s="1" t="s">
        <v>3</v>
      </c>
      <c r="H35" s="2">
        <v>118674.67</v>
      </c>
      <c r="I35" s="2">
        <v>0</v>
      </c>
      <c r="J35" s="4">
        <v>45059</v>
      </c>
      <c r="K35" s="3"/>
      <c r="L35" s="1" t="s">
        <v>2</v>
      </c>
      <c r="M35" s="1" t="s">
        <v>45</v>
      </c>
      <c r="N35" s="2">
        <v>29715.77</v>
      </c>
      <c r="O35" s="2">
        <v>22663.21</v>
      </c>
      <c r="P35" s="1" t="s">
        <v>0</v>
      </c>
    </row>
    <row r="36" spans="1:16" ht="18" customHeight="1" x14ac:dyDescent="0.3">
      <c r="A36" s="7" t="s">
        <v>481</v>
      </c>
      <c r="B36" s="7" t="s">
        <v>480</v>
      </c>
      <c r="C36" s="5" t="s">
        <v>42</v>
      </c>
      <c r="D36" s="7">
        <v>75</v>
      </c>
      <c r="E36" s="5" t="s">
        <v>21</v>
      </c>
      <c r="F36" s="5" t="s">
        <v>41</v>
      </c>
      <c r="G36" s="5" t="s">
        <v>40</v>
      </c>
      <c r="H36" s="6">
        <v>280576.99</v>
      </c>
      <c r="I36" s="6">
        <v>0</v>
      </c>
      <c r="J36" s="8">
        <v>44762</v>
      </c>
      <c r="K36" s="7"/>
      <c r="L36" s="5" t="s">
        <v>26</v>
      </c>
      <c r="M36" s="5" t="s">
        <v>39</v>
      </c>
      <c r="N36" s="6">
        <v>21291.77</v>
      </c>
      <c r="O36" s="6">
        <v>18086.849999999999</v>
      </c>
      <c r="P36" s="5" t="s">
        <v>0</v>
      </c>
    </row>
    <row r="37" spans="1:16" ht="18" customHeight="1" x14ac:dyDescent="0.3">
      <c r="A37" s="3" t="s">
        <v>479</v>
      </c>
      <c r="B37" s="3" t="s">
        <v>478</v>
      </c>
      <c r="C37" s="1" t="s">
        <v>36</v>
      </c>
      <c r="D37" s="3">
        <v>61</v>
      </c>
      <c r="E37" s="1" t="s">
        <v>13</v>
      </c>
      <c r="F37" s="1" t="s">
        <v>35</v>
      </c>
      <c r="G37" s="1" t="s">
        <v>34</v>
      </c>
      <c r="H37" s="2">
        <v>156823.67000000001</v>
      </c>
      <c r="I37" s="2">
        <v>125597.64</v>
      </c>
      <c r="J37" s="4">
        <v>44909</v>
      </c>
      <c r="K37" s="4">
        <v>45006</v>
      </c>
      <c r="L37" s="1" t="s">
        <v>18</v>
      </c>
      <c r="M37" s="1" t="s">
        <v>33</v>
      </c>
      <c r="N37" s="2">
        <v>22607.360000000001</v>
      </c>
      <c r="O37" s="2">
        <v>19676.25</v>
      </c>
      <c r="P37" s="1" t="s">
        <v>0</v>
      </c>
    </row>
    <row r="38" spans="1:16" ht="18" customHeight="1" x14ac:dyDescent="0.3">
      <c r="A38" s="7" t="s">
        <v>477</v>
      </c>
      <c r="B38" s="7" t="s">
        <v>476</v>
      </c>
      <c r="C38" s="5" t="s">
        <v>29</v>
      </c>
      <c r="D38" s="7">
        <v>33</v>
      </c>
      <c r="E38" s="5" t="s">
        <v>5</v>
      </c>
      <c r="F38" s="5" t="s">
        <v>28</v>
      </c>
      <c r="G38" s="5" t="s">
        <v>27</v>
      </c>
      <c r="H38" s="6">
        <v>130837.08</v>
      </c>
      <c r="I38" s="6">
        <v>0</v>
      </c>
      <c r="J38" s="8">
        <v>44793</v>
      </c>
      <c r="K38" s="7"/>
      <c r="L38" s="5" t="s">
        <v>10</v>
      </c>
      <c r="M38" s="5" t="s">
        <v>25</v>
      </c>
      <c r="N38" s="6">
        <v>47052.71</v>
      </c>
      <c r="O38" s="6">
        <v>13307.45</v>
      </c>
      <c r="P38" s="5" t="s">
        <v>0</v>
      </c>
    </row>
    <row r="39" spans="1:16" ht="18" customHeight="1" x14ac:dyDescent="0.3">
      <c r="A39" s="3" t="s">
        <v>475</v>
      </c>
      <c r="B39" s="3" t="s">
        <v>474</v>
      </c>
      <c r="C39" s="1" t="s">
        <v>22</v>
      </c>
      <c r="D39" s="3">
        <v>53</v>
      </c>
      <c r="E39" s="1" t="s">
        <v>21</v>
      </c>
      <c r="F39" s="1" t="s">
        <v>20</v>
      </c>
      <c r="G39" s="1" t="s">
        <v>19</v>
      </c>
      <c r="H39" s="2">
        <v>477642.46</v>
      </c>
      <c r="I39" s="2">
        <v>0</v>
      </c>
      <c r="J39" s="4">
        <v>44861</v>
      </c>
      <c r="K39" s="3"/>
      <c r="L39" s="1" t="s">
        <v>2</v>
      </c>
      <c r="M39" s="1" t="s">
        <v>17</v>
      </c>
      <c r="N39" s="2">
        <v>16517.75</v>
      </c>
      <c r="O39" s="2">
        <v>41028.339999999997</v>
      </c>
      <c r="P39" s="1" t="s">
        <v>0</v>
      </c>
    </row>
    <row r="40" spans="1:16" ht="18" customHeight="1" x14ac:dyDescent="0.3">
      <c r="A40" s="7" t="s">
        <v>473</v>
      </c>
      <c r="B40" s="7" t="s">
        <v>472</v>
      </c>
      <c r="C40" s="5" t="s">
        <v>14</v>
      </c>
      <c r="D40" s="7">
        <v>57</v>
      </c>
      <c r="E40" s="5" t="s">
        <v>13</v>
      </c>
      <c r="F40" s="5" t="s">
        <v>12</v>
      </c>
      <c r="G40" s="5" t="s">
        <v>11</v>
      </c>
      <c r="H40" s="6">
        <v>342472.93</v>
      </c>
      <c r="I40" s="6">
        <v>0</v>
      </c>
      <c r="J40" s="8">
        <v>44847</v>
      </c>
      <c r="K40" s="7"/>
      <c r="L40" s="5" t="s">
        <v>26</v>
      </c>
      <c r="M40" s="5" t="s">
        <v>9</v>
      </c>
      <c r="N40" s="6">
        <v>15885</v>
      </c>
      <c r="O40" s="6">
        <v>66689.259999999995</v>
      </c>
      <c r="P40" s="5" t="s">
        <v>0</v>
      </c>
    </row>
    <row r="41" spans="1:16" ht="18" customHeight="1" x14ac:dyDescent="0.3">
      <c r="A41" s="3" t="s">
        <v>471</v>
      </c>
      <c r="B41" s="3" t="s">
        <v>470</v>
      </c>
      <c r="C41" s="1" t="s">
        <v>6</v>
      </c>
      <c r="D41" s="3">
        <v>46</v>
      </c>
      <c r="E41" s="1" t="s">
        <v>5</v>
      </c>
      <c r="F41" s="1" t="s">
        <v>4</v>
      </c>
      <c r="G41" s="1" t="s">
        <v>3</v>
      </c>
      <c r="H41" s="2">
        <v>218837.27</v>
      </c>
      <c r="I41" s="2">
        <v>161114.47</v>
      </c>
      <c r="J41" s="4">
        <v>44994</v>
      </c>
      <c r="K41" s="4">
        <v>45097</v>
      </c>
      <c r="L41" s="1" t="s">
        <v>18</v>
      </c>
      <c r="M41" s="1" t="s">
        <v>1</v>
      </c>
      <c r="N41" s="2">
        <v>21203.1</v>
      </c>
      <c r="O41" s="2">
        <v>37894.36</v>
      </c>
      <c r="P41" s="1" t="s">
        <v>0</v>
      </c>
    </row>
    <row r="42" spans="1:16" ht="18" customHeight="1" x14ac:dyDescent="0.3">
      <c r="A42" s="7" t="s">
        <v>469</v>
      </c>
      <c r="B42" s="7" t="s">
        <v>468</v>
      </c>
      <c r="C42" s="5" t="s">
        <v>77</v>
      </c>
      <c r="D42" s="7">
        <v>71</v>
      </c>
      <c r="E42" s="5" t="s">
        <v>21</v>
      </c>
      <c r="F42" s="5" t="s">
        <v>61</v>
      </c>
      <c r="G42" s="5" t="s">
        <v>40</v>
      </c>
      <c r="H42" s="6">
        <v>431611.5</v>
      </c>
      <c r="I42" s="6">
        <v>0</v>
      </c>
      <c r="J42" s="8">
        <v>44926</v>
      </c>
      <c r="K42" s="7"/>
      <c r="L42" s="5" t="s">
        <v>10</v>
      </c>
      <c r="M42" s="5" t="s">
        <v>60</v>
      </c>
      <c r="N42" s="6">
        <v>24691.51</v>
      </c>
      <c r="O42" s="6">
        <v>80832.19</v>
      </c>
      <c r="P42" s="5" t="s">
        <v>0</v>
      </c>
    </row>
    <row r="43" spans="1:16" ht="18" customHeight="1" x14ac:dyDescent="0.3">
      <c r="A43" s="3" t="s">
        <v>467</v>
      </c>
      <c r="B43" s="3" t="s">
        <v>466</v>
      </c>
      <c r="C43" s="1" t="s">
        <v>74</v>
      </c>
      <c r="D43" s="3">
        <v>44</v>
      </c>
      <c r="E43" s="1" t="s">
        <v>13</v>
      </c>
      <c r="F43" s="1" t="s">
        <v>56</v>
      </c>
      <c r="G43" s="1" t="s">
        <v>34</v>
      </c>
      <c r="H43" s="2">
        <v>434340.82</v>
      </c>
      <c r="I43" s="2">
        <v>0</v>
      </c>
      <c r="J43" s="4">
        <v>45001</v>
      </c>
      <c r="K43" s="3"/>
      <c r="L43" s="1" t="s">
        <v>2</v>
      </c>
      <c r="M43" s="1" t="s">
        <v>55</v>
      </c>
      <c r="N43" s="2">
        <v>31355.22</v>
      </c>
      <c r="O43" s="2">
        <v>38729.61</v>
      </c>
      <c r="P43" s="1" t="s">
        <v>0</v>
      </c>
    </row>
    <row r="44" spans="1:16" ht="18" customHeight="1" x14ac:dyDescent="0.3">
      <c r="A44" s="7" t="s">
        <v>465</v>
      </c>
      <c r="B44" s="7" t="s">
        <v>464</v>
      </c>
      <c r="C44" s="5" t="s">
        <v>71</v>
      </c>
      <c r="D44" s="7">
        <v>38</v>
      </c>
      <c r="E44" s="5" t="s">
        <v>5</v>
      </c>
      <c r="F44" s="5" t="s">
        <v>51</v>
      </c>
      <c r="G44" s="5" t="s">
        <v>27</v>
      </c>
      <c r="H44" s="6">
        <v>222132.91</v>
      </c>
      <c r="I44" s="6">
        <v>0</v>
      </c>
      <c r="J44" s="8">
        <v>45014</v>
      </c>
      <c r="K44" s="7"/>
      <c r="L44" s="5" t="s">
        <v>26</v>
      </c>
      <c r="M44" s="5" t="s">
        <v>50</v>
      </c>
      <c r="N44" s="6">
        <v>34670.79</v>
      </c>
      <c r="O44" s="6">
        <v>11787.43</v>
      </c>
      <c r="P44" s="5" t="s">
        <v>32</v>
      </c>
    </row>
    <row r="45" spans="1:16" ht="18" customHeight="1" x14ac:dyDescent="0.3">
      <c r="A45" s="3" t="s">
        <v>463</v>
      </c>
      <c r="B45" s="3" t="s">
        <v>462</v>
      </c>
      <c r="C45" s="1" t="s">
        <v>68</v>
      </c>
      <c r="D45" s="3">
        <v>43</v>
      </c>
      <c r="E45" s="1" t="s">
        <v>21</v>
      </c>
      <c r="F45" s="1" t="s">
        <v>46</v>
      </c>
      <c r="G45" s="1" t="s">
        <v>19</v>
      </c>
      <c r="H45" s="2">
        <v>330208.71999999997</v>
      </c>
      <c r="I45" s="2">
        <v>253926.34</v>
      </c>
      <c r="J45" s="4">
        <v>44674</v>
      </c>
      <c r="K45" s="4">
        <v>44733</v>
      </c>
      <c r="L45" s="1" t="s">
        <v>18</v>
      </c>
      <c r="M45" s="1" t="s">
        <v>45</v>
      </c>
      <c r="N45" s="2">
        <v>19100.7</v>
      </c>
      <c r="O45" s="2">
        <v>22610.57</v>
      </c>
      <c r="P45" s="1" t="s">
        <v>0</v>
      </c>
    </row>
    <row r="46" spans="1:16" ht="18" customHeight="1" x14ac:dyDescent="0.3">
      <c r="A46" s="7" t="s">
        <v>461</v>
      </c>
      <c r="B46" s="7" t="s">
        <v>460</v>
      </c>
      <c r="C46" s="5" t="s">
        <v>65</v>
      </c>
      <c r="D46" s="7">
        <v>30</v>
      </c>
      <c r="E46" s="5" t="s">
        <v>13</v>
      </c>
      <c r="F46" s="5" t="s">
        <v>41</v>
      </c>
      <c r="G46" s="5" t="s">
        <v>11</v>
      </c>
      <c r="H46" s="6">
        <v>28697.66</v>
      </c>
      <c r="I46" s="6">
        <v>0</v>
      </c>
      <c r="J46" s="8">
        <v>45152</v>
      </c>
      <c r="K46" s="7"/>
      <c r="L46" s="5" t="s">
        <v>10</v>
      </c>
      <c r="M46" s="5" t="s">
        <v>39</v>
      </c>
      <c r="N46" s="6">
        <v>16114.51</v>
      </c>
      <c r="O46" s="6">
        <v>2972.82</v>
      </c>
      <c r="P46" s="5" t="s">
        <v>0</v>
      </c>
    </row>
    <row r="47" spans="1:16" ht="18" customHeight="1" x14ac:dyDescent="0.3">
      <c r="A47" s="3" t="s">
        <v>459</v>
      </c>
      <c r="B47" s="3" t="s">
        <v>458</v>
      </c>
      <c r="C47" s="1" t="s">
        <v>62</v>
      </c>
      <c r="D47" s="3">
        <v>36</v>
      </c>
      <c r="E47" s="1" t="s">
        <v>5</v>
      </c>
      <c r="F47" s="1" t="s">
        <v>35</v>
      </c>
      <c r="G47" s="1" t="s">
        <v>3</v>
      </c>
      <c r="H47" s="2">
        <v>387500.74</v>
      </c>
      <c r="I47" s="2">
        <v>0</v>
      </c>
      <c r="J47" s="4">
        <v>44702</v>
      </c>
      <c r="K47" s="3"/>
      <c r="L47" s="1" t="s">
        <v>2</v>
      </c>
      <c r="M47" s="1" t="s">
        <v>33</v>
      </c>
      <c r="N47" s="2">
        <v>10303.49</v>
      </c>
      <c r="O47" s="2">
        <v>44160.73</v>
      </c>
      <c r="P47" s="1" t="s">
        <v>32</v>
      </c>
    </row>
    <row r="48" spans="1:16" ht="18" customHeight="1" x14ac:dyDescent="0.3">
      <c r="A48" s="7" t="s">
        <v>457</v>
      </c>
      <c r="B48" s="7" t="s">
        <v>456</v>
      </c>
      <c r="C48" s="5" t="s">
        <v>57</v>
      </c>
      <c r="D48" s="7">
        <v>26</v>
      </c>
      <c r="E48" s="5" t="s">
        <v>21</v>
      </c>
      <c r="F48" s="5" t="s">
        <v>28</v>
      </c>
      <c r="G48" s="5" t="s">
        <v>40</v>
      </c>
      <c r="H48" s="6">
        <v>257324.35</v>
      </c>
      <c r="I48" s="6">
        <v>0</v>
      </c>
      <c r="J48" s="8">
        <v>45004</v>
      </c>
      <c r="K48" s="7"/>
      <c r="L48" s="5" t="s">
        <v>26</v>
      </c>
      <c r="M48" s="5" t="s">
        <v>25</v>
      </c>
      <c r="N48" s="6">
        <v>13119.28</v>
      </c>
      <c r="O48" s="6">
        <v>40646.44</v>
      </c>
      <c r="P48" s="5" t="s">
        <v>0</v>
      </c>
    </row>
    <row r="49" spans="1:16" ht="18" customHeight="1" x14ac:dyDescent="0.3">
      <c r="A49" s="3" t="s">
        <v>455</v>
      </c>
      <c r="B49" s="3" t="s">
        <v>454</v>
      </c>
      <c r="C49" s="1" t="s">
        <v>52</v>
      </c>
      <c r="D49" s="3">
        <v>26</v>
      </c>
      <c r="E49" s="1" t="s">
        <v>13</v>
      </c>
      <c r="F49" s="1" t="s">
        <v>20</v>
      </c>
      <c r="G49" s="1" t="s">
        <v>34</v>
      </c>
      <c r="H49" s="2">
        <v>307437.88</v>
      </c>
      <c r="I49" s="2">
        <v>212434</v>
      </c>
      <c r="J49" s="4">
        <v>44584</v>
      </c>
      <c r="K49" s="4">
        <v>44610</v>
      </c>
      <c r="L49" s="1" t="s">
        <v>18</v>
      </c>
      <c r="M49" s="1" t="s">
        <v>17</v>
      </c>
      <c r="N49" s="2">
        <v>3441.27</v>
      </c>
      <c r="O49" s="2">
        <v>48835.44</v>
      </c>
      <c r="P49" s="1" t="s">
        <v>0</v>
      </c>
    </row>
    <row r="50" spans="1:16" ht="18" customHeight="1" x14ac:dyDescent="0.3">
      <c r="A50" s="7" t="s">
        <v>453</v>
      </c>
      <c r="B50" s="7" t="s">
        <v>452</v>
      </c>
      <c r="C50" s="5" t="s">
        <v>47</v>
      </c>
      <c r="D50" s="7">
        <v>45</v>
      </c>
      <c r="E50" s="5" t="s">
        <v>5</v>
      </c>
      <c r="F50" s="5" t="s">
        <v>12</v>
      </c>
      <c r="G50" s="5" t="s">
        <v>27</v>
      </c>
      <c r="H50" s="6">
        <v>271169.65000000002</v>
      </c>
      <c r="I50" s="6">
        <v>0</v>
      </c>
      <c r="J50" s="8">
        <v>44760</v>
      </c>
      <c r="K50" s="7"/>
      <c r="L50" s="5" t="s">
        <v>10</v>
      </c>
      <c r="M50" s="5" t="s">
        <v>9</v>
      </c>
      <c r="N50" s="6">
        <v>26468.28</v>
      </c>
      <c r="O50" s="6">
        <v>34641.06</v>
      </c>
      <c r="P50" s="5" t="s">
        <v>0</v>
      </c>
    </row>
    <row r="51" spans="1:16" ht="18" customHeight="1" x14ac:dyDescent="0.3">
      <c r="A51" s="3" t="s">
        <v>451</v>
      </c>
      <c r="B51" s="3" t="s">
        <v>450</v>
      </c>
      <c r="C51" s="1" t="s">
        <v>42</v>
      </c>
      <c r="D51" s="3">
        <v>62</v>
      </c>
      <c r="E51" s="1" t="s">
        <v>21</v>
      </c>
      <c r="F51" s="1" t="s">
        <v>4</v>
      </c>
      <c r="G51" s="1" t="s">
        <v>19</v>
      </c>
      <c r="H51" s="2">
        <v>333326.59000000003</v>
      </c>
      <c r="I51" s="2">
        <v>0</v>
      </c>
      <c r="J51" s="4">
        <v>45152</v>
      </c>
      <c r="K51" s="3"/>
      <c r="L51" s="1" t="s">
        <v>2</v>
      </c>
      <c r="M51" s="1" t="s">
        <v>1</v>
      </c>
      <c r="N51" s="2">
        <v>47714.28</v>
      </c>
      <c r="O51" s="2">
        <v>52630.45</v>
      </c>
      <c r="P51" s="1" t="s">
        <v>0</v>
      </c>
    </row>
    <row r="52" spans="1:16" ht="18" customHeight="1" x14ac:dyDescent="0.3">
      <c r="A52" s="7" t="s">
        <v>449</v>
      </c>
      <c r="B52" s="7" t="s">
        <v>448</v>
      </c>
      <c r="C52" s="5" t="s">
        <v>36</v>
      </c>
      <c r="D52" s="7">
        <v>70</v>
      </c>
      <c r="E52" s="5" t="s">
        <v>13</v>
      </c>
      <c r="F52" s="5" t="s">
        <v>61</v>
      </c>
      <c r="G52" s="5" t="s">
        <v>11</v>
      </c>
      <c r="H52" s="6">
        <v>110430.36</v>
      </c>
      <c r="I52" s="6">
        <v>0</v>
      </c>
      <c r="J52" s="8">
        <v>44921</v>
      </c>
      <c r="K52" s="7"/>
      <c r="L52" s="5" t="s">
        <v>26</v>
      </c>
      <c r="M52" s="5" t="s">
        <v>60</v>
      </c>
      <c r="N52" s="6">
        <v>47507.69</v>
      </c>
      <c r="O52" s="6">
        <v>6392.15</v>
      </c>
      <c r="P52" s="5" t="s">
        <v>0</v>
      </c>
    </row>
    <row r="53" spans="1:16" ht="18" customHeight="1" x14ac:dyDescent="0.3">
      <c r="A53" s="3" t="s">
        <v>447</v>
      </c>
      <c r="B53" s="3" t="s">
        <v>446</v>
      </c>
      <c r="C53" s="1" t="s">
        <v>29</v>
      </c>
      <c r="D53" s="3">
        <v>53</v>
      </c>
      <c r="E53" s="1" t="s">
        <v>5</v>
      </c>
      <c r="F53" s="1" t="s">
        <v>56</v>
      </c>
      <c r="G53" s="1" t="s">
        <v>3</v>
      </c>
      <c r="H53" s="2">
        <v>98331.77</v>
      </c>
      <c r="I53" s="2">
        <v>77414.720000000001</v>
      </c>
      <c r="J53" s="4">
        <v>45284</v>
      </c>
      <c r="K53" s="4">
        <v>45383</v>
      </c>
      <c r="L53" s="1" t="s">
        <v>18</v>
      </c>
      <c r="M53" s="1" t="s">
        <v>55</v>
      </c>
      <c r="N53" s="2">
        <v>25004.560000000001</v>
      </c>
      <c r="O53" s="2">
        <v>8532.44</v>
      </c>
      <c r="P53" s="1" t="s">
        <v>0</v>
      </c>
    </row>
    <row r="54" spans="1:16" ht="18" customHeight="1" x14ac:dyDescent="0.3">
      <c r="A54" s="7" t="s">
        <v>445</v>
      </c>
      <c r="B54" s="7" t="s">
        <v>444</v>
      </c>
      <c r="C54" s="5" t="s">
        <v>22</v>
      </c>
      <c r="D54" s="7">
        <v>66</v>
      </c>
      <c r="E54" s="5" t="s">
        <v>21</v>
      </c>
      <c r="F54" s="5" t="s">
        <v>51</v>
      </c>
      <c r="G54" s="5" t="s">
        <v>40</v>
      </c>
      <c r="H54" s="6">
        <v>194882.5</v>
      </c>
      <c r="I54" s="6">
        <v>0</v>
      </c>
      <c r="J54" s="8">
        <v>44982</v>
      </c>
      <c r="K54" s="7"/>
      <c r="L54" s="5" t="s">
        <v>10</v>
      </c>
      <c r="M54" s="5" t="s">
        <v>50</v>
      </c>
      <c r="N54" s="6">
        <v>30352.6</v>
      </c>
      <c r="O54" s="6">
        <v>12554.49</v>
      </c>
      <c r="P54" s="5" t="s">
        <v>0</v>
      </c>
    </row>
    <row r="55" spans="1:16" ht="18" customHeight="1" x14ac:dyDescent="0.3">
      <c r="A55" s="3" t="s">
        <v>443</v>
      </c>
      <c r="B55" s="3" t="s">
        <v>442</v>
      </c>
      <c r="C55" s="1" t="s">
        <v>14</v>
      </c>
      <c r="D55" s="3">
        <v>51</v>
      </c>
      <c r="E55" s="1" t="s">
        <v>13</v>
      </c>
      <c r="F55" s="1" t="s">
        <v>46</v>
      </c>
      <c r="G55" s="1" t="s">
        <v>34</v>
      </c>
      <c r="H55" s="2">
        <v>120626.56</v>
      </c>
      <c r="I55" s="2">
        <v>0</v>
      </c>
      <c r="J55" s="4">
        <v>45081</v>
      </c>
      <c r="K55" s="3"/>
      <c r="L55" s="1" t="s">
        <v>2</v>
      </c>
      <c r="M55" s="1" t="s">
        <v>45</v>
      </c>
      <c r="N55" s="2">
        <v>47862.77</v>
      </c>
      <c r="O55" s="2">
        <v>19517.45</v>
      </c>
      <c r="P55" s="1" t="s">
        <v>0</v>
      </c>
    </row>
    <row r="56" spans="1:16" ht="18" customHeight="1" x14ac:dyDescent="0.3">
      <c r="A56" s="7" t="s">
        <v>441</v>
      </c>
      <c r="B56" s="7" t="s">
        <v>440</v>
      </c>
      <c r="C56" s="5" t="s">
        <v>6</v>
      </c>
      <c r="D56" s="7">
        <v>43</v>
      </c>
      <c r="E56" s="5" t="s">
        <v>5</v>
      </c>
      <c r="F56" s="5" t="s">
        <v>41</v>
      </c>
      <c r="G56" s="5" t="s">
        <v>27</v>
      </c>
      <c r="H56" s="6">
        <v>370826.22</v>
      </c>
      <c r="I56" s="6">
        <v>0</v>
      </c>
      <c r="J56" s="8">
        <v>44796</v>
      </c>
      <c r="K56" s="7"/>
      <c r="L56" s="5" t="s">
        <v>26</v>
      </c>
      <c r="M56" s="5" t="s">
        <v>39</v>
      </c>
      <c r="N56" s="6">
        <v>45312.55</v>
      </c>
      <c r="O56" s="6">
        <v>20187.560000000001</v>
      </c>
      <c r="P56" s="5" t="s">
        <v>32</v>
      </c>
    </row>
    <row r="57" spans="1:16" ht="18" customHeight="1" x14ac:dyDescent="0.3">
      <c r="A57" s="3" t="s">
        <v>439</v>
      </c>
      <c r="B57" s="3" t="s">
        <v>438</v>
      </c>
      <c r="C57" s="1" t="s">
        <v>77</v>
      </c>
      <c r="D57" s="3">
        <v>35</v>
      </c>
      <c r="E57" s="1" t="s">
        <v>21</v>
      </c>
      <c r="F57" s="1" t="s">
        <v>35</v>
      </c>
      <c r="G57" s="1" t="s">
        <v>19</v>
      </c>
      <c r="H57" s="2">
        <v>387862.87</v>
      </c>
      <c r="I57" s="2">
        <v>298738.59000000003</v>
      </c>
      <c r="J57" s="4">
        <v>44587</v>
      </c>
      <c r="K57" s="4">
        <v>44656</v>
      </c>
      <c r="L57" s="1" t="s">
        <v>18</v>
      </c>
      <c r="M57" s="1" t="s">
        <v>33</v>
      </c>
      <c r="N57" s="2">
        <v>43388.08</v>
      </c>
      <c r="O57" s="2">
        <v>74606.47</v>
      </c>
      <c r="P57" s="1" t="s">
        <v>0</v>
      </c>
    </row>
    <row r="58" spans="1:16" ht="18" customHeight="1" x14ac:dyDescent="0.3">
      <c r="A58" s="7" t="s">
        <v>437</v>
      </c>
      <c r="B58" s="7" t="s">
        <v>436</v>
      </c>
      <c r="C58" s="5" t="s">
        <v>74</v>
      </c>
      <c r="D58" s="7">
        <v>47</v>
      </c>
      <c r="E58" s="5" t="s">
        <v>13</v>
      </c>
      <c r="F58" s="5" t="s">
        <v>28</v>
      </c>
      <c r="G58" s="5" t="s">
        <v>11</v>
      </c>
      <c r="H58" s="6">
        <v>117890.08</v>
      </c>
      <c r="I58" s="6">
        <v>0</v>
      </c>
      <c r="J58" s="8">
        <v>45060</v>
      </c>
      <c r="K58" s="7"/>
      <c r="L58" s="5" t="s">
        <v>10</v>
      </c>
      <c r="M58" s="5" t="s">
        <v>25</v>
      </c>
      <c r="N58" s="6">
        <v>36333.32</v>
      </c>
      <c r="O58" s="6">
        <v>10263.74</v>
      </c>
      <c r="P58" s="5" t="s">
        <v>0</v>
      </c>
    </row>
    <row r="59" spans="1:16" ht="18" customHeight="1" x14ac:dyDescent="0.3">
      <c r="A59" s="3" t="s">
        <v>435</v>
      </c>
      <c r="B59" s="3" t="s">
        <v>434</v>
      </c>
      <c r="C59" s="1" t="s">
        <v>71</v>
      </c>
      <c r="D59" s="3">
        <v>61</v>
      </c>
      <c r="E59" s="1" t="s">
        <v>5</v>
      </c>
      <c r="F59" s="1" t="s">
        <v>20</v>
      </c>
      <c r="G59" s="1" t="s">
        <v>3</v>
      </c>
      <c r="H59" s="2">
        <v>170083.01</v>
      </c>
      <c r="I59" s="2">
        <v>0</v>
      </c>
      <c r="J59" s="4">
        <v>45170</v>
      </c>
      <c r="K59" s="3"/>
      <c r="L59" s="1" t="s">
        <v>2</v>
      </c>
      <c r="M59" s="1" t="s">
        <v>17</v>
      </c>
      <c r="N59" s="2">
        <v>29696.68</v>
      </c>
      <c r="O59" s="2">
        <v>13113.44</v>
      </c>
      <c r="P59" s="1" t="s">
        <v>0</v>
      </c>
    </row>
    <row r="60" spans="1:16" ht="18" customHeight="1" x14ac:dyDescent="0.3">
      <c r="A60" s="7" t="s">
        <v>433</v>
      </c>
      <c r="B60" s="7" t="s">
        <v>432</v>
      </c>
      <c r="C60" s="5" t="s">
        <v>68</v>
      </c>
      <c r="D60" s="7">
        <v>29</v>
      </c>
      <c r="E60" s="5" t="s">
        <v>21</v>
      </c>
      <c r="F60" s="5" t="s">
        <v>12</v>
      </c>
      <c r="G60" s="5" t="s">
        <v>40</v>
      </c>
      <c r="H60" s="6">
        <v>97742.89</v>
      </c>
      <c r="I60" s="6">
        <v>0</v>
      </c>
      <c r="J60" s="8">
        <v>44598</v>
      </c>
      <c r="K60" s="7"/>
      <c r="L60" s="5" t="s">
        <v>26</v>
      </c>
      <c r="M60" s="5" t="s">
        <v>9</v>
      </c>
      <c r="N60" s="6">
        <v>4394.3900000000003</v>
      </c>
      <c r="O60" s="6">
        <v>5121.71</v>
      </c>
      <c r="P60" s="5" t="s">
        <v>0</v>
      </c>
    </row>
    <row r="61" spans="1:16" ht="18" customHeight="1" x14ac:dyDescent="0.3">
      <c r="A61" s="3" t="s">
        <v>431</v>
      </c>
      <c r="B61" s="3" t="s">
        <v>430</v>
      </c>
      <c r="C61" s="1" t="s">
        <v>65</v>
      </c>
      <c r="D61" s="3">
        <v>36</v>
      </c>
      <c r="E61" s="1" t="s">
        <v>13</v>
      </c>
      <c r="F61" s="1" t="s">
        <v>4</v>
      </c>
      <c r="G61" s="1" t="s">
        <v>34</v>
      </c>
      <c r="H61" s="2">
        <v>282245.34999999998</v>
      </c>
      <c r="I61" s="2">
        <v>205718.45</v>
      </c>
      <c r="J61" s="4">
        <v>44848</v>
      </c>
      <c r="K61" s="4">
        <v>44917</v>
      </c>
      <c r="L61" s="1" t="s">
        <v>18</v>
      </c>
      <c r="M61" s="1" t="s">
        <v>1</v>
      </c>
      <c r="N61" s="2">
        <v>47099.519999999997</v>
      </c>
      <c r="O61" s="2">
        <v>50506.400000000001</v>
      </c>
      <c r="P61" s="1" t="s">
        <v>0</v>
      </c>
    </row>
    <row r="62" spans="1:16" ht="18" customHeight="1" x14ac:dyDescent="0.3">
      <c r="A62" s="7" t="s">
        <v>429</v>
      </c>
      <c r="B62" s="7" t="s">
        <v>428</v>
      </c>
      <c r="C62" s="5" t="s">
        <v>62</v>
      </c>
      <c r="D62" s="7">
        <v>22</v>
      </c>
      <c r="E62" s="5" t="s">
        <v>5</v>
      </c>
      <c r="F62" s="5" t="s">
        <v>61</v>
      </c>
      <c r="G62" s="5" t="s">
        <v>27</v>
      </c>
      <c r="H62" s="6">
        <v>72115.03</v>
      </c>
      <c r="I62" s="6">
        <v>0</v>
      </c>
      <c r="J62" s="8">
        <v>44938</v>
      </c>
      <c r="K62" s="7"/>
      <c r="L62" s="5" t="s">
        <v>10</v>
      </c>
      <c r="M62" s="5" t="s">
        <v>60</v>
      </c>
      <c r="N62" s="6">
        <v>24155.54</v>
      </c>
      <c r="O62" s="6">
        <v>13067.58</v>
      </c>
      <c r="P62" s="5" t="s">
        <v>0</v>
      </c>
    </row>
    <row r="63" spans="1:16" ht="18" customHeight="1" x14ac:dyDescent="0.3">
      <c r="A63" s="3" t="s">
        <v>427</v>
      </c>
      <c r="B63" s="3" t="s">
        <v>426</v>
      </c>
      <c r="C63" s="1" t="s">
        <v>57</v>
      </c>
      <c r="D63" s="3">
        <v>55</v>
      </c>
      <c r="E63" s="1" t="s">
        <v>21</v>
      </c>
      <c r="F63" s="1" t="s">
        <v>56</v>
      </c>
      <c r="G63" s="1" t="s">
        <v>19</v>
      </c>
      <c r="H63" s="2">
        <v>458059.02</v>
      </c>
      <c r="I63" s="2">
        <v>0</v>
      </c>
      <c r="J63" s="4">
        <v>44865</v>
      </c>
      <c r="K63" s="3"/>
      <c r="L63" s="1" t="s">
        <v>2</v>
      </c>
      <c r="M63" s="1" t="s">
        <v>55</v>
      </c>
      <c r="N63" s="2">
        <v>46322.400000000001</v>
      </c>
      <c r="O63" s="2">
        <v>30781.3</v>
      </c>
      <c r="P63" s="1" t="s">
        <v>0</v>
      </c>
    </row>
    <row r="64" spans="1:16" ht="18" customHeight="1" x14ac:dyDescent="0.3">
      <c r="A64" s="7" t="s">
        <v>425</v>
      </c>
      <c r="B64" s="7" t="s">
        <v>424</v>
      </c>
      <c r="C64" s="5" t="s">
        <v>52</v>
      </c>
      <c r="D64" s="7">
        <v>36</v>
      </c>
      <c r="E64" s="5" t="s">
        <v>13</v>
      </c>
      <c r="F64" s="5" t="s">
        <v>51</v>
      </c>
      <c r="G64" s="5" t="s">
        <v>11</v>
      </c>
      <c r="H64" s="6">
        <v>12584.58</v>
      </c>
      <c r="I64" s="6">
        <v>0</v>
      </c>
      <c r="J64" s="8">
        <v>44859</v>
      </c>
      <c r="K64" s="7"/>
      <c r="L64" s="5" t="s">
        <v>26</v>
      </c>
      <c r="M64" s="5" t="s">
        <v>50</v>
      </c>
      <c r="N64" s="6">
        <v>14932.62</v>
      </c>
      <c r="O64" s="6">
        <v>1049.94</v>
      </c>
      <c r="P64" s="5" t="s">
        <v>0</v>
      </c>
    </row>
    <row r="65" spans="1:16" ht="18" customHeight="1" x14ac:dyDescent="0.3">
      <c r="A65" s="3" t="s">
        <v>423</v>
      </c>
      <c r="B65" s="3" t="s">
        <v>422</v>
      </c>
      <c r="C65" s="1" t="s">
        <v>47</v>
      </c>
      <c r="D65" s="3">
        <v>31</v>
      </c>
      <c r="E65" s="1" t="s">
        <v>5</v>
      </c>
      <c r="F65" s="1" t="s">
        <v>46</v>
      </c>
      <c r="G65" s="1" t="s">
        <v>3</v>
      </c>
      <c r="H65" s="2">
        <v>326465.28999999998</v>
      </c>
      <c r="I65" s="2">
        <v>244866.07</v>
      </c>
      <c r="J65" s="4">
        <v>45057</v>
      </c>
      <c r="K65" s="4">
        <v>45159</v>
      </c>
      <c r="L65" s="1" t="s">
        <v>18</v>
      </c>
      <c r="M65" s="1" t="s">
        <v>45</v>
      </c>
      <c r="N65" s="2">
        <v>10946.84</v>
      </c>
      <c r="O65" s="2">
        <v>55820.46</v>
      </c>
      <c r="P65" s="1" t="s">
        <v>32</v>
      </c>
    </row>
    <row r="66" spans="1:16" ht="18" customHeight="1" x14ac:dyDescent="0.3">
      <c r="A66" s="7" t="s">
        <v>421</v>
      </c>
      <c r="B66" s="7" t="s">
        <v>420</v>
      </c>
      <c r="C66" s="5" t="s">
        <v>42</v>
      </c>
      <c r="D66" s="7">
        <v>70</v>
      </c>
      <c r="E66" s="5" t="s">
        <v>21</v>
      </c>
      <c r="F66" s="5" t="s">
        <v>41</v>
      </c>
      <c r="G66" s="5" t="s">
        <v>40</v>
      </c>
      <c r="H66" s="6">
        <v>353116.71</v>
      </c>
      <c r="I66" s="6">
        <v>0</v>
      </c>
      <c r="J66" s="8">
        <v>45008</v>
      </c>
      <c r="K66" s="7"/>
      <c r="L66" s="5" t="s">
        <v>10</v>
      </c>
      <c r="M66" s="5" t="s">
        <v>39</v>
      </c>
      <c r="N66" s="6">
        <v>32839.17</v>
      </c>
      <c r="O66" s="6">
        <v>28845.4</v>
      </c>
      <c r="P66" s="5" t="s">
        <v>0</v>
      </c>
    </row>
    <row r="67" spans="1:16" ht="18" customHeight="1" x14ac:dyDescent="0.3">
      <c r="A67" s="3" t="s">
        <v>419</v>
      </c>
      <c r="B67" s="3" t="s">
        <v>418</v>
      </c>
      <c r="C67" s="1" t="s">
        <v>36</v>
      </c>
      <c r="D67" s="3">
        <v>39</v>
      </c>
      <c r="E67" s="1" t="s">
        <v>13</v>
      </c>
      <c r="F67" s="1" t="s">
        <v>35</v>
      </c>
      <c r="G67" s="1" t="s">
        <v>34</v>
      </c>
      <c r="H67" s="2">
        <v>406936.82</v>
      </c>
      <c r="I67" s="2">
        <v>0</v>
      </c>
      <c r="J67" s="4">
        <v>44909</v>
      </c>
      <c r="K67" s="3"/>
      <c r="L67" s="1" t="s">
        <v>2</v>
      </c>
      <c r="M67" s="1" t="s">
        <v>33</v>
      </c>
      <c r="N67" s="2">
        <v>46117.71</v>
      </c>
      <c r="O67" s="2">
        <v>33670.43</v>
      </c>
      <c r="P67" s="1" t="s">
        <v>0</v>
      </c>
    </row>
    <row r="68" spans="1:16" ht="18" customHeight="1" x14ac:dyDescent="0.3">
      <c r="A68" s="7" t="s">
        <v>417</v>
      </c>
      <c r="B68" s="7" t="s">
        <v>416</v>
      </c>
      <c r="C68" s="5" t="s">
        <v>29</v>
      </c>
      <c r="D68" s="7">
        <v>54</v>
      </c>
      <c r="E68" s="5" t="s">
        <v>5</v>
      </c>
      <c r="F68" s="5" t="s">
        <v>28</v>
      </c>
      <c r="G68" s="5" t="s">
        <v>27</v>
      </c>
      <c r="H68" s="6">
        <v>139683.97</v>
      </c>
      <c r="I68" s="6">
        <v>0</v>
      </c>
      <c r="J68" s="8">
        <v>44965</v>
      </c>
      <c r="K68" s="7"/>
      <c r="L68" s="5" t="s">
        <v>26</v>
      </c>
      <c r="M68" s="5" t="s">
        <v>25</v>
      </c>
      <c r="N68" s="6">
        <v>7019.88</v>
      </c>
      <c r="O68" s="6">
        <v>20971.96</v>
      </c>
      <c r="P68" s="5" t="s">
        <v>32</v>
      </c>
    </row>
    <row r="69" spans="1:16" ht="18" customHeight="1" x14ac:dyDescent="0.3">
      <c r="A69" s="3" t="s">
        <v>415</v>
      </c>
      <c r="B69" s="3" t="s">
        <v>414</v>
      </c>
      <c r="C69" s="1" t="s">
        <v>22</v>
      </c>
      <c r="D69" s="3">
        <v>57</v>
      </c>
      <c r="E69" s="1" t="s">
        <v>21</v>
      </c>
      <c r="F69" s="1" t="s">
        <v>20</v>
      </c>
      <c r="G69" s="1" t="s">
        <v>19</v>
      </c>
      <c r="H69" s="2">
        <v>18587</v>
      </c>
      <c r="I69" s="2">
        <v>11869.87</v>
      </c>
      <c r="J69" s="4">
        <v>44674</v>
      </c>
      <c r="K69" s="4">
        <v>44746</v>
      </c>
      <c r="L69" s="1" t="s">
        <v>18</v>
      </c>
      <c r="M69" s="1" t="s">
        <v>17</v>
      </c>
      <c r="N69" s="2">
        <v>15203.1</v>
      </c>
      <c r="O69" s="2">
        <v>1288.8399999999999</v>
      </c>
      <c r="P69" s="1" t="s">
        <v>0</v>
      </c>
    </row>
    <row r="70" spans="1:16" ht="18" customHeight="1" x14ac:dyDescent="0.3">
      <c r="A70" s="7" t="s">
        <v>413</v>
      </c>
      <c r="B70" s="7" t="s">
        <v>412</v>
      </c>
      <c r="C70" s="5" t="s">
        <v>14</v>
      </c>
      <c r="D70" s="7">
        <v>29</v>
      </c>
      <c r="E70" s="5" t="s">
        <v>13</v>
      </c>
      <c r="F70" s="5" t="s">
        <v>12</v>
      </c>
      <c r="G70" s="5" t="s">
        <v>11</v>
      </c>
      <c r="H70" s="6">
        <v>388096.98</v>
      </c>
      <c r="I70" s="6">
        <v>0</v>
      </c>
      <c r="J70" s="8">
        <v>44650</v>
      </c>
      <c r="K70" s="7"/>
      <c r="L70" s="5" t="s">
        <v>10</v>
      </c>
      <c r="M70" s="5" t="s">
        <v>9</v>
      </c>
      <c r="N70" s="6">
        <v>36065.81</v>
      </c>
      <c r="O70" s="6">
        <v>54534.76</v>
      </c>
      <c r="P70" s="5" t="s">
        <v>0</v>
      </c>
    </row>
    <row r="71" spans="1:16" ht="18" customHeight="1" x14ac:dyDescent="0.3">
      <c r="A71" s="3" t="s">
        <v>411</v>
      </c>
      <c r="B71" s="3" t="s">
        <v>410</v>
      </c>
      <c r="C71" s="1" t="s">
        <v>6</v>
      </c>
      <c r="D71" s="3">
        <v>45</v>
      </c>
      <c r="E71" s="1" t="s">
        <v>5</v>
      </c>
      <c r="F71" s="1" t="s">
        <v>4</v>
      </c>
      <c r="G71" s="1" t="s">
        <v>3</v>
      </c>
      <c r="H71" s="2">
        <v>193283.44</v>
      </c>
      <c r="I71" s="2">
        <v>0</v>
      </c>
      <c r="J71" s="4">
        <v>44968</v>
      </c>
      <c r="K71" s="3"/>
      <c r="L71" s="1" t="s">
        <v>2</v>
      </c>
      <c r="M71" s="1" t="s">
        <v>1</v>
      </c>
      <c r="N71" s="2">
        <v>49020.82</v>
      </c>
      <c r="O71" s="2">
        <v>15456.01</v>
      </c>
      <c r="P71" s="1" t="s">
        <v>32</v>
      </c>
    </row>
    <row r="72" spans="1:16" ht="18" customHeight="1" x14ac:dyDescent="0.3">
      <c r="A72" s="7" t="s">
        <v>409</v>
      </c>
      <c r="B72" s="7" t="s">
        <v>408</v>
      </c>
      <c r="C72" s="5" t="s">
        <v>77</v>
      </c>
      <c r="D72" s="7">
        <v>45</v>
      </c>
      <c r="E72" s="5" t="s">
        <v>21</v>
      </c>
      <c r="F72" s="5" t="s">
        <v>61</v>
      </c>
      <c r="G72" s="5" t="s">
        <v>40</v>
      </c>
      <c r="H72" s="6">
        <v>451035.88</v>
      </c>
      <c r="I72" s="6">
        <v>0</v>
      </c>
      <c r="J72" s="8">
        <v>44674</v>
      </c>
      <c r="K72" s="7"/>
      <c r="L72" s="5" t="s">
        <v>26</v>
      </c>
      <c r="M72" s="5" t="s">
        <v>60</v>
      </c>
      <c r="N72" s="6">
        <v>6587.7</v>
      </c>
      <c r="O72" s="6">
        <v>32934.769999999997</v>
      </c>
      <c r="P72" s="5" t="s">
        <v>0</v>
      </c>
    </row>
    <row r="73" spans="1:16" ht="18" customHeight="1" x14ac:dyDescent="0.3">
      <c r="A73" s="3" t="s">
        <v>407</v>
      </c>
      <c r="B73" s="3" t="s">
        <v>406</v>
      </c>
      <c r="C73" s="1" t="s">
        <v>74</v>
      </c>
      <c r="D73" s="3">
        <v>58</v>
      </c>
      <c r="E73" s="1" t="s">
        <v>13</v>
      </c>
      <c r="F73" s="1" t="s">
        <v>56</v>
      </c>
      <c r="G73" s="1" t="s">
        <v>34</v>
      </c>
      <c r="H73" s="2">
        <v>458162.91</v>
      </c>
      <c r="I73" s="2">
        <v>346913.48</v>
      </c>
      <c r="J73" s="4">
        <v>44718</v>
      </c>
      <c r="K73" s="4">
        <v>44754</v>
      </c>
      <c r="L73" s="1" t="s">
        <v>18</v>
      </c>
      <c r="M73" s="1" t="s">
        <v>55</v>
      </c>
      <c r="N73" s="2">
        <v>47925.82</v>
      </c>
      <c r="O73" s="2">
        <v>54042.43</v>
      </c>
      <c r="P73" s="1" t="s">
        <v>0</v>
      </c>
    </row>
    <row r="74" spans="1:16" ht="18" customHeight="1" x14ac:dyDescent="0.3">
      <c r="A74" s="7" t="s">
        <v>405</v>
      </c>
      <c r="B74" s="7" t="s">
        <v>404</v>
      </c>
      <c r="C74" s="5" t="s">
        <v>71</v>
      </c>
      <c r="D74" s="7">
        <v>54</v>
      </c>
      <c r="E74" s="5" t="s">
        <v>5</v>
      </c>
      <c r="F74" s="5" t="s">
        <v>51</v>
      </c>
      <c r="G74" s="5" t="s">
        <v>27</v>
      </c>
      <c r="H74" s="6">
        <v>36301.040000000001</v>
      </c>
      <c r="I74" s="6">
        <v>0</v>
      </c>
      <c r="J74" s="8">
        <v>44563</v>
      </c>
      <c r="K74" s="7"/>
      <c r="L74" s="5" t="s">
        <v>10</v>
      </c>
      <c r="M74" s="5" t="s">
        <v>50</v>
      </c>
      <c r="N74" s="6">
        <v>21946.71</v>
      </c>
      <c r="O74" s="6">
        <v>6184.59</v>
      </c>
      <c r="P74" s="5" t="s">
        <v>0</v>
      </c>
    </row>
    <row r="75" spans="1:16" ht="18" customHeight="1" x14ac:dyDescent="0.3">
      <c r="A75" s="3" t="s">
        <v>403</v>
      </c>
      <c r="B75" s="3" t="s">
        <v>402</v>
      </c>
      <c r="C75" s="1" t="s">
        <v>68</v>
      </c>
      <c r="D75" s="3">
        <v>38</v>
      </c>
      <c r="E75" s="1" t="s">
        <v>21</v>
      </c>
      <c r="F75" s="1" t="s">
        <v>46</v>
      </c>
      <c r="G75" s="1" t="s">
        <v>19</v>
      </c>
      <c r="H75" s="2">
        <v>77121.91</v>
      </c>
      <c r="I75" s="2">
        <v>0</v>
      </c>
      <c r="J75" s="4">
        <v>45099</v>
      </c>
      <c r="K75" s="3"/>
      <c r="L75" s="1" t="s">
        <v>2</v>
      </c>
      <c r="M75" s="1" t="s">
        <v>45</v>
      </c>
      <c r="N75" s="2">
        <v>13150.04</v>
      </c>
      <c r="O75" s="2">
        <v>14274.83</v>
      </c>
      <c r="P75" s="1" t="s">
        <v>0</v>
      </c>
    </row>
    <row r="76" spans="1:16" ht="18" customHeight="1" x14ac:dyDescent="0.3">
      <c r="A76" s="7" t="s">
        <v>401</v>
      </c>
      <c r="B76" s="7" t="s">
        <v>400</v>
      </c>
      <c r="C76" s="5" t="s">
        <v>65</v>
      </c>
      <c r="D76" s="7">
        <v>74</v>
      </c>
      <c r="E76" s="5" t="s">
        <v>13</v>
      </c>
      <c r="F76" s="5" t="s">
        <v>41</v>
      </c>
      <c r="G76" s="5" t="s">
        <v>11</v>
      </c>
      <c r="H76" s="6">
        <v>231216.75</v>
      </c>
      <c r="I76" s="6">
        <v>0</v>
      </c>
      <c r="J76" s="8">
        <v>44975</v>
      </c>
      <c r="K76" s="7"/>
      <c r="L76" s="5" t="s">
        <v>26</v>
      </c>
      <c r="M76" s="5" t="s">
        <v>39</v>
      </c>
      <c r="N76" s="6">
        <v>14224.08</v>
      </c>
      <c r="O76" s="6">
        <v>41260.86</v>
      </c>
      <c r="P76" s="5" t="s">
        <v>0</v>
      </c>
    </row>
    <row r="77" spans="1:16" ht="18" customHeight="1" x14ac:dyDescent="0.3">
      <c r="A77" s="3" t="s">
        <v>399</v>
      </c>
      <c r="B77" s="3" t="s">
        <v>398</v>
      </c>
      <c r="C77" s="1" t="s">
        <v>62</v>
      </c>
      <c r="D77" s="3">
        <v>73</v>
      </c>
      <c r="E77" s="1" t="s">
        <v>5</v>
      </c>
      <c r="F77" s="1" t="s">
        <v>35</v>
      </c>
      <c r="G77" s="1" t="s">
        <v>3</v>
      </c>
      <c r="H77" s="2">
        <v>64464.08</v>
      </c>
      <c r="I77" s="2">
        <v>41191.19</v>
      </c>
      <c r="J77" s="4">
        <v>45103</v>
      </c>
      <c r="K77" s="4">
        <v>45197</v>
      </c>
      <c r="L77" s="1" t="s">
        <v>18</v>
      </c>
      <c r="M77" s="1" t="s">
        <v>33</v>
      </c>
      <c r="N77" s="2">
        <v>39972.839999999997</v>
      </c>
      <c r="O77" s="2">
        <v>12821.16</v>
      </c>
      <c r="P77" s="1" t="s">
        <v>0</v>
      </c>
    </row>
    <row r="78" spans="1:16" ht="18" customHeight="1" x14ac:dyDescent="0.3">
      <c r="A78" s="7" t="s">
        <v>397</v>
      </c>
      <c r="B78" s="7" t="s">
        <v>396</v>
      </c>
      <c r="C78" s="5" t="s">
        <v>57</v>
      </c>
      <c r="D78" s="7">
        <v>48</v>
      </c>
      <c r="E78" s="5" t="s">
        <v>21</v>
      </c>
      <c r="F78" s="5" t="s">
        <v>28</v>
      </c>
      <c r="G78" s="5" t="s">
        <v>40</v>
      </c>
      <c r="H78" s="6">
        <v>382580.58</v>
      </c>
      <c r="I78" s="6">
        <v>0</v>
      </c>
      <c r="J78" s="8">
        <v>44785</v>
      </c>
      <c r="K78" s="7"/>
      <c r="L78" s="5" t="s">
        <v>10</v>
      </c>
      <c r="M78" s="5" t="s">
        <v>25</v>
      </c>
      <c r="N78" s="6">
        <v>42153.71</v>
      </c>
      <c r="O78" s="6">
        <v>37330.31</v>
      </c>
      <c r="P78" s="5" t="s">
        <v>0</v>
      </c>
    </row>
    <row r="79" spans="1:16" ht="18" customHeight="1" x14ac:dyDescent="0.3">
      <c r="A79" s="3" t="s">
        <v>395</v>
      </c>
      <c r="B79" s="3" t="s">
        <v>394</v>
      </c>
      <c r="C79" s="1" t="s">
        <v>52</v>
      </c>
      <c r="D79" s="3">
        <v>47</v>
      </c>
      <c r="E79" s="1" t="s">
        <v>13</v>
      </c>
      <c r="F79" s="1" t="s">
        <v>20</v>
      </c>
      <c r="G79" s="1" t="s">
        <v>34</v>
      </c>
      <c r="H79" s="2">
        <v>161849.29999999999</v>
      </c>
      <c r="I79" s="2">
        <v>0</v>
      </c>
      <c r="J79" s="4">
        <v>45255</v>
      </c>
      <c r="K79" s="3"/>
      <c r="L79" s="1" t="s">
        <v>2</v>
      </c>
      <c r="M79" s="1" t="s">
        <v>17</v>
      </c>
      <c r="N79" s="2">
        <v>15923.6</v>
      </c>
      <c r="O79" s="2">
        <v>8789.83</v>
      </c>
      <c r="P79" s="1" t="s">
        <v>0</v>
      </c>
    </row>
    <row r="80" spans="1:16" ht="18" customHeight="1" x14ac:dyDescent="0.3">
      <c r="A80" s="7" t="s">
        <v>393</v>
      </c>
      <c r="B80" s="7" t="s">
        <v>392</v>
      </c>
      <c r="C80" s="5" t="s">
        <v>47</v>
      </c>
      <c r="D80" s="7">
        <v>42</v>
      </c>
      <c r="E80" s="5" t="s">
        <v>5</v>
      </c>
      <c r="F80" s="5" t="s">
        <v>12</v>
      </c>
      <c r="G80" s="5" t="s">
        <v>27</v>
      </c>
      <c r="H80" s="6">
        <v>47381.68</v>
      </c>
      <c r="I80" s="6">
        <v>0</v>
      </c>
      <c r="J80" s="8">
        <v>44769</v>
      </c>
      <c r="K80" s="7"/>
      <c r="L80" s="5" t="s">
        <v>26</v>
      </c>
      <c r="M80" s="5" t="s">
        <v>9</v>
      </c>
      <c r="N80" s="6">
        <v>46892.34</v>
      </c>
      <c r="O80" s="6">
        <v>6812.2</v>
      </c>
      <c r="P80" s="5" t="s">
        <v>32</v>
      </c>
    </row>
    <row r="81" spans="1:16" ht="18" customHeight="1" x14ac:dyDescent="0.3">
      <c r="A81" s="3" t="s">
        <v>391</v>
      </c>
      <c r="B81" s="3" t="s">
        <v>390</v>
      </c>
      <c r="C81" s="1" t="s">
        <v>42</v>
      </c>
      <c r="D81" s="3">
        <v>50</v>
      </c>
      <c r="E81" s="1" t="s">
        <v>21</v>
      </c>
      <c r="F81" s="1" t="s">
        <v>4</v>
      </c>
      <c r="G81" s="1" t="s">
        <v>19</v>
      </c>
      <c r="H81" s="2">
        <v>65212.99</v>
      </c>
      <c r="I81" s="2">
        <v>57592.42</v>
      </c>
      <c r="J81" s="4">
        <v>44956</v>
      </c>
      <c r="K81" s="4">
        <v>45070</v>
      </c>
      <c r="L81" s="1" t="s">
        <v>18</v>
      </c>
      <c r="M81" s="1" t="s">
        <v>1</v>
      </c>
      <c r="N81" s="2">
        <v>46020.15</v>
      </c>
      <c r="O81" s="2">
        <v>3862.04</v>
      </c>
      <c r="P81" s="1" t="s">
        <v>0</v>
      </c>
    </row>
    <row r="82" spans="1:16" ht="18" customHeight="1" x14ac:dyDescent="0.3">
      <c r="A82" s="7" t="s">
        <v>389</v>
      </c>
      <c r="B82" s="7" t="s">
        <v>388</v>
      </c>
      <c r="C82" s="5" t="s">
        <v>36</v>
      </c>
      <c r="D82" s="7">
        <v>73</v>
      </c>
      <c r="E82" s="5" t="s">
        <v>13</v>
      </c>
      <c r="F82" s="5" t="s">
        <v>61</v>
      </c>
      <c r="G82" s="5" t="s">
        <v>11</v>
      </c>
      <c r="H82" s="6">
        <v>158479.35</v>
      </c>
      <c r="I82" s="6">
        <v>0</v>
      </c>
      <c r="J82" s="8">
        <v>45248</v>
      </c>
      <c r="K82" s="7"/>
      <c r="L82" s="5" t="s">
        <v>10</v>
      </c>
      <c r="M82" s="5" t="s">
        <v>60</v>
      </c>
      <c r="N82" s="6">
        <v>32752.25</v>
      </c>
      <c r="O82" s="6">
        <v>21134.86</v>
      </c>
      <c r="P82" s="5" t="s">
        <v>0</v>
      </c>
    </row>
    <row r="83" spans="1:16" ht="18" customHeight="1" x14ac:dyDescent="0.3">
      <c r="A83" s="3" t="s">
        <v>387</v>
      </c>
      <c r="B83" s="3" t="s">
        <v>386</v>
      </c>
      <c r="C83" s="1" t="s">
        <v>29</v>
      </c>
      <c r="D83" s="3">
        <v>20</v>
      </c>
      <c r="E83" s="1" t="s">
        <v>5</v>
      </c>
      <c r="F83" s="1" t="s">
        <v>56</v>
      </c>
      <c r="G83" s="1" t="s">
        <v>3</v>
      </c>
      <c r="H83" s="2">
        <v>198723.61</v>
      </c>
      <c r="I83" s="2">
        <v>0</v>
      </c>
      <c r="J83" s="4">
        <v>45059</v>
      </c>
      <c r="K83" s="3"/>
      <c r="L83" s="1" t="s">
        <v>2</v>
      </c>
      <c r="M83" s="1" t="s">
        <v>55</v>
      </c>
      <c r="N83" s="2">
        <v>3630.79</v>
      </c>
      <c r="O83" s="2">
        <v>38662.480000000003</v>
      </c>
      <c r="P83" s="1" t="s">
        <v>0</v>
      </c>
    </row>
    <row r="84" spans="1:16" ht="18" customHeight="1" x14ac:dyDescent="0.3">
      <c r="A84" s="7" t="s">
        <v>385</v>
      </c>
      <c r="B84" s="7" t="s">
        <v>384</v>
      </c>
      <c r="C84" s="5" t="s">
        <v>22</v>
      </c>
      <c r="D84" s="7">
        <v>43</v>
      </c>
      <c r="E84" s="5" t="s">
        <v>21</v>
      </c>
      <c r="F84" s="5" t="s">
        <v>51</v>
      </c>
      <c r="G84" s="5" t="s">
        <v>40</v>
      </c>
      <c r="H84" s="6">
        <v>314242.96000000002</v>
      </c>
      <c r="I84" s="6">
        <v>0</v>
      </c>
      <c r="J84" s="8">
        <v>44872</v>
      </c>
      <c r="K84" s="7"/>
      <c r="L84" s="5" t="s">
        <v>26</v>
      </c>
      <c r="M84" s="5" t="s">
        <v>50</v>
      </c>
      <c r="N84" s="6">
        <v>5959.76</v>
      </c>
      <c r="O84" s="6">
        <v>62843.61</v>
      </c>
      <c r="P84" s="5" t="s">
        <v>0</v>
      </c>
    </row>
    <row r="85" spans="1:16" ht="18" customHeight="1" x14ac:dyDescent="0.3">
      <c r="A85" s="3" t="s">
        <v>383</v>
      </c>
      <c r="B85" s="3" t="s">
        <v>382</v>
      </c>
      <c r="C85" s="1" t="s">
        <v>14</v>
      </c>
      <c r="D85" s="3">
        <v>44</v>
      </c>
      <c r="E85" s="1" t="s">
        <v>13</v>
      </c>
      <c r="F85" s="1" t="s">
        <v>46</v>
      </c>
      <c r="G85" s="1" t="s">
        <v>34</v>
      </c>
      <c r="H85" s="2">
        <v>256842.84</v>
      </c>
      <c r="I85" s="2">
        <v>161507.64000000001</v>
      </c>
      <c r="J85" s="4">
        <v>44571</v>
      </c>
      <c r="K85" s="4">
        <v>44617</v>
      </c>
      <c r="L85" s="1" t="s">
        <v>18</v>
      </c>
      <c r="M85" s="1" t="s">
        <v>45</v>
      </c>
      <c r="N85" s="2">
        <v>20832.919999999998</v>
      </c>
      <c r="O85" s="2">
        <v>30574.639999999999</v>
      </c>
      <c r="P85" s="1" t="s">
        <v>0</v>
      </c>
    </row>
    <row r="86" spans="1:16" ht="18" customHeight="1" x14ac:dyDescent="0.3">
      <c r="A86" s="7" t="s">
        <v>381</v>
      </c>
      <c r="B86" s="7" t="s">
        <v>380</v>
      </c>
      <c r="C86" s="5" t="s">
        <v>6</v>
      </c>
      <c r="D86" s="7">
        <v>41</v>
      </c>
      <c r="E86" s="5" t="s">
        <v>5</v>
      </c>
      <c r="F86" s="5" t="s">
        <v>41</v>
      </c>
      <c r="G86" s="5" t="s">
        <v>27</v>
      </c>
      <c r="H86" s="6">
        <v>485685.28</v>
      </c>
      <c r="I86" s="6">
        <v>0</v>
      </c>
      <c r="J86" s="8">
        <v>44972</v>
      </c>
      <c r="K86" s="7"/>
      <c r="L86" s="5" t="s">
        <v>10</v>
      </c>
      <c r="M86" s="5" t="s">
        <v>39</v>
      </c>
      <c r="N86" s="6">
        <v>38464.74</v>
      </c>
      <c r="O86" s="6">
        <v>79063.37</v>
      </c>
      <c r="P86" s="5" t="s">
        <v>0</v>
      </c>
    </row>
    <row r="87" spans="1:16" ht="18" customHeight="1" x14ac:dyDescent="0.3">
      <c r="A87" s="3" t="s">
        <v>379</v>
      </c>
      <c r="B87" s="3" t="s">
        <v>378</v>
      </c>
      <c r="C87" s="1" t="s">
        <v>77</v>
      </c>
      <c r="D87" s="3">
        <v>63</v>
      </c>
      <c r="E87" s="1" t="s">
        <v>21</v>
      </c>
      <c r="F87" s="1" t="s">
        <v>35</v>
      </c>
      <c r="G87" s="1" t="s">
        <v>19</v>
      </c>
      <c r="H87" s="2">
        <v>345201.69</v>
      </c>
      <c r="I87" s="2">
        <v>0</v>
      </c>
      <c r="J87" s="4">
        <v>45153</v>
      </c>
      <c r="K87" s="3"/>
      <c r="L87" s="1" t="s">
        <v>2</v>
      </c>
      <c r="M87" s="1" t="s">
        <v>33</v>
      </c>
      <c r="N87" s="2">
        <v>22320.04</v>
      </c>
      <c r="O87" s="2">
        <v>27119.37</v>
      </c>
      <c r="P87" s="1" t="s">
        <v>0</v>
      </c>
    </row>
    <row r="88" spans="1:16" ht="18" customHeight="1" x14ac:dyDescent="0.3">
      <c r="A88" s="7" t="s">
        <v>377</v>
      </c>
      <c r="B88" s="7" t="s">
        <v>376</v>
      </c>
      <c r="C88" s="5" t="s">
        <v>74</v>
      </c>
      <c r="D88" s="7">
        <v>26</v>
      </c>
      <c r="E88" s="5" t="s">
        <v>13</v>
      </c>
      <c r="F88" s="5" t="s">
        <v>28</v>
      </c>
      <c r="G88" s="5" t="s">
        <v>11</v>
      </c>
      <c r="H88" s="6">
        <v>51075.42</v>
      </c>
      <c r="I88" s="6">
        <v>0</v>
      </c>
      <c r="J88" s="8">
        <v>45046</v>
      </c>
      <c r="K88" s="7"/>
      <c r="L88" s="5" t="s">
        <v>26</v>
      </c>
      <c r="M88" s="5" t="s">
        <v>25</v>
      </c>
      <c r="N88" s="6">
        <v>16140.15</v>
      </c>
      <c r="O88" s="6">
        <v>5144.05</v>
      </c>
      <c r="P88" s="5" t="s">
        <v>0</v>
      </c>
    </row>
    <row r="89" spans="1:16" ht="18" customHeight="1" x14ac:dyDescent="0.3">
      <c r="A89" s="3" t="s">
        <v>375</v>
      </c>
      <c r="B89" s="3" t="s">
        <v>374</v>
      </c>
      <c r="C89" s="1" t="s">
        <v>71</v>
      </c>
      <c r="D89" s="3">
        <v>55</v>
      </c>
      <c r="E89" s="1" t="s">
        <v>5</v>
      </c>
      <c r="F89" s="1" t="s">
        <v>20</v>
      </c>
      <c r="G89" s="1" t="s">
        <v>3</v>
      </c>
      <c r="H89" s="2">
        <v>395457.2</v>
      </c>
      <c r="I89" s="2">
        <v>256912.37</v>
      </c>
      <c r="J89" s="4">
        <v>44695</v>
      </c>
      <c r="K89" s="4">
        <v>44809</v>
      </c>
      <c r="L89" s="1" t="s">
        <v>18</v>
      </c>
      <c r="M89" s="1" t="s">
        <v>17</v>
      </c>
      <c r="N89" s="2">
        <v>28438.880000000001</v>
      </c>
      <c r="O89" s="2">
        <v>40726.85</v>
      </c>
      <c r="P89" s="1" t="s">
        <v>0</v>
      </c>
    </row>
    <row r="90" spans="1:16" ht="18" customHeight="1" x14ac:dyDescent="0.3">
      <c r="A90" s="7" t="s">
        <v>373</v>
      </c>
      <c r="B90" s="7" t="s">
        <v>372</v>
      </c>
      <c r="C90" s="5" t="s">
        <v>68</v>
      </c>
      <c r="D90" s="7">
        <v>30</v>
      </c>
      <c r="E90" s="5" t="s">
        <v>21</v>
      </c>
      <c r="F90" s="5" t="s">
        <v>12</v>
      </c>
      <c r="G90" s="5" t="s">
        <v>40</v>
      </c>
      <c r="H90" s="6">
        <v>212221.85</v>
      </c>
      <c r="I90" s="6">
        <v>0</v>
      </c>
      <c r="J90" s="8">
        <v>44995</v>
      </c>
      <c r="K90" s="7"/>
      <c r="L90" s="5" t="s">
        <v>10</v>
      </c>
      <c r="M90" s="5" t="s">
        <v>9</v>
      </c>
      <c r="N90" s="6">
        <v>20250.849999999999</v>
      </c>
      <c r="O90" s="6">
        <v>23444.84</v>
      </c>
      <c r="P90" s="5" t="s">
        <v>32</v>
      </c>
    </row>
    <row r="91" spans="1:16" ht="18" customHeight="1" x14ac:dyDescent="0.3">
      <c r="A91" s="3" t="s">
        <v>371</v>
      </c>
      <c r="B91" s="3" t="s">
        <v>370</v>
      </c>
      <c r="C91" s="1" t="s">
        <v>65</v>
      </c>
      <c r="D91" s="3">
        <v>55</v>
      </c>
      <c r="E91" s="1" t="s">
        <v>13</v>
      </c>
      <c r="F91" s="1" t="s">
        <v>4</v>
      </c>
      <c r="G91" s="1" t="s">
        <v>34</v>
      </c>
      <c r="H91" s="2">
        <v>53531.51</v>
      </c>
      <c r="I91" s="2">
        <v>0</v>
      </c>
      <c r="J91" s="4">
        <v>45076</v>
      </c>
      <c r="K91" s="3"/>
      <c r="L91" s="1" t="s">
        <v>2</v>
      </c>
      <c r="M91" s="1" t="s">
        <v>1</v>
      </c>
      <c r="N91" s="2">
        <v>30449.16</v>
      </c>
      <c r="O91" s="2">
        <v>6069.91</v>
      </c>
      <c r="P91" s="1" t="s">
        <v>0</v>
      </c>
    </row>
    <row r="92" spans="1:16" ht="18" customHeight="1" x14ac:dyDescent="0.3">
      <c r="A92" s="7" t="s">
        <v>369</v>
      </c>
      <c r="B92" s="7" t="s">
        <v>368</v>
      </c>
      <c r="C92" s="5" t="s">
        <v>62</v>
      </c>
      <c r="D92" s="7">
        <v>57</v>
      </c>
      <c r="E92" s="5" t="s">
        <v>5</v>
      </c>
      <c r="F92" s="5" t="s">
        <v>61</v>
      </c>
      <c r="G92" s="5" t="s">
        <v>27</v>
      </c>
      <c r="H92" s="6">
        <v>281759.40000000002</v>
      </c>
      <c r="I92" s="6">
        <v>0</v>
      </c>
      <c r="J92" s="8">
        <v>44732</v>
      </c>
      <c r="K92" s="7"/>
      <c r="L92" s="5" t="s">
        <v>26</v>
      </c>
      <c r="M92" s="5" t="s">
        <v>60</v>
      </c>
      <c r="N92" s="6">
        <v>8212.36</v>
      </c>
      <c r="O92" s="6">
        <v>56024.58</v>
      </c>
      <c r="P92" s="5" t="s">
        <v>0</v>
      </c>
    </row>
    <row r="93" spans="1:16" ht="18" customHeight="1" x14ac:dyDescent="0.3">
      <c r="A93" s="3" t="s">
        <v>367</v>
      </c>
      <c r="B93" s="3" t="s">
        <v>366</v>
      </c>
      <c r="C93" s="1" t="s">
        <v>57</v>
      </c>
      <c r="D93" s="3">
        <v>52</v>
      </c>
      <c r="E93" s="1" t="s">
        <v>21</v>
      </c>
      <c r="F93" s="1" t="s">
        <v>56</v>
      </c>
      <c r="G93" s="1" t="s">
        <v>19</v>
      </c>
      <c r="H93" s="2">
        <v>13361.72</v>
      </c>
      <c r="I93" s="2">
        <v>8774.77</v>
      </c>
      <c r="J93" s="4">
        <v>45215</v>
      </c>
      <c r="K93" s="4">
        <v>45328</v>
      </c>
      <c r="L93" s="1" t="s">
        <v>18</v>
      </c>
      <c r="M93" s="1" t="s">
        <v>55</v>
      </c>
      <c r="N93" s="2">
        <v>13332.45</v>
      </c>
      <c r="O93" s="2">
        <v>709.05</v>
      </c>
      <c r="P93" s="1" t="s">
        <v>32</v>
      </c>
    </row>
    <row r="94" spans="1:16" ht="18" customHeight="1" x14ac:dyDescent="0.3">
      <c r="A94" s="7" t="s">
        <v>365</v>
      </c>
      <c r="B94" s="7" t="s">
        <v>364</v>
      </c>
      <c r="C94" s="5" t="s">
        <v>52</v>
      </c>
      <c r="D94" s="7">
        <v>59</v>
      </c>
      <c r="E94" s="5" t="s">
        <v>13</v>
      </c>
      <c r="F94" s="5" t="s">
        <v>51</v>
      </c>
      <c r="G94" s="5" t="s">
        <v>11</v>
      </c>
      <c r="H94" s="6">
        <v>378942.04</v>
      </c>
      <c r="I94" s="6">
        <v>0</v>
      </c>
      <c r="J94" s="8">
        <v>45063</v>
      </c>
      <c r="K94" s="7"/>
      <c r="L94" s="5" t="s">
        <v>10</v>
      </c>
      <c r="M94" s="5" t="s">
        <v>50</v>
      </c>
      <c r="N94" s="6">
        <v>43881</v>
      </c>
      <c r="O94" s="6">
        <v>48362.46</v>
      </c>
      <c r="P94" s="5" t="s">
        <v>0</v>
      </c>
    </row>
    <row r="95" spans="1:16" ht="18" customHeight="1" x14ac:dyDescent="0.3">
      <c r="A95" s="3" t="s">
        <v>363</v>
      </c>
      <c r="B95" s="3" t="s">
        <v>362</v>
      </c>
      <c r="C95" s="1" t="s">
        <v>47</v>
      </c>
      <c r="D95" s="3">
        <v>22</v>
      </c>
      <c r="E95" s="1" t="s">
        <v>5</v>
      </c>
      <c r="F95" s="1" t="s">
        <v>46</v>
      </c>
      <c r="G95" s="1" t="s">
        <v>3</v>
      </c>
      <c r="H95" s="2">
        <v>286367.40999999997</v>
      </c>
      <c r="I95" s="2">
        <v>0</v>
      </c>
      <c r="J95" s="4">
        <v>44725</v>
      </c>
      <c r="K95" s="3"/>
      <c r="L95" s="1" t="s">
        <v>2</v>
      </c>
      <c r="M95" s="1" t="s">
        <v>45</v>
      </c>
      <c r="N95" s="2">
        <v>24875.09</v>
      </c>
      <c r="O95" s="2">
        <v>15030.38</v>
      </c>
      <c r="P95" s="1" t="s">
        <v>0</v>
      </c>
    </row>
    <row r="96" spans="1:16" ht="18" customHeight="1" x14ac:dyDescent="0.3">
      <c r="A96" s="7" t="s">
        <v>361</v>
      </c>
      <c r="B96" s="7" t="s">
        <v>360</v>
      </c>
      <c r="C96" s="5" t="s">
        <v>42</v>
      </c>
      <c r="D96" s="7">
        <v>72</v>
      </c>
      <c r="E96" s="5" t="s">
        <v>21</v>
      </c>
      <c r="F96" s="5" t="s">
        <v>41</v>
      </c>
      <c r="G96" s="5" t="s">
        <v>40</v>
      </c>
      <c r="H96" s="6">
        <v>90806.18</v>
      </c>
      <c r="I96" s="6">
        <v>0</v>
      </c>
      <c r="J96" s="8">
        <v>44685</v>
      </c>
      <c r="K96" s="7"/>
      <c r="L96" s="5" t="s">
        <v>26</v>
      </c>
      <c r="M96" s="5" t="s">
        <v>39</v>
      </c>
      <c r="N96" s="6">
        <v>19524.669999999998</v>
      </c>
      <c r="O96" s="6">
        <v>17657.11</v>
      </c>
      <c r="P96" s="5" t="s">
        <v>0</v>
      </c>
    </row>
    <row r="97" spans="1:16" ht="18" customHeight="1" x14ac:dyDescent="0.3">
      <c r="A97" s="3" t="s">
        <v>359</v>
      </c>
      <c r="B97" s="3" t="s">
        <v>358</v>
      </c>
      <c r="C97" s="1" t="s">
        <v>36</v>
      </c>
      <c r="D97" s="3">
        <v>53</v>
      </c>
      <c r="E97" s="1" t="s">
        <v>13</v>
      </c>
      <c r="F97" s="1" t="s">
        <v>35</v>
      </c>
      <c r="G97" s="1" t="s">
        <v>34</v>
      </c>
      <c r="H97" s="2">
        <v>308097.89</v>
      </c>
      <c r="I97" s="2">
        <v>173213.65</v>
      </c>
      <c r="J97" s="4">
        <v>44675</v>
      </c>
      <c r="K97" s="4">
        <v>44751</v>
      </c>
      <c r="L97" s="1" t="s">
        <v>18</v>
      </c>
      <c r="M97" s="1" t="s">
        <v>33</v>
      </c>
      <c r="N97" s="2">
        <v>18935.72</v>
      </c>
      <c r="O97" s="2">
        <v>20664.509999999998</v>
      </c>
      <c r="P97" s="1" t="s">
        <v>0</v>
      </c>
    </row>
    <row r="98" spans="1:16" ht="18" customHeight="1" x14ac:dyDescent="0.3">
      <c r="A98" s="7" t="s">
        <v>357</v>
      </c>
      <c r="B98" s="7" t="s">
        <v>356</v>
      </c>
      <c r="C98" s="5" t="s">
        <v>29</v>
      </c>
      <c r="D98" s="7">
        <v>40</v>
      </c>
      <c r="E98" s="5" t="s">
        <v>5</v>
      </c>
      <c r="F98" s="5" t="s">
        <v>28</v>
      </c>
      <c r="G98" s="5" t="s">
        <v>27</v>
      </c>
      <c r="H98" s="6">
        <v>158169.15</v>
      </c>
      <c r="I98" s="6">
        <v>0</v>
      </c>
      <c r="J98" s="8">
        <v>44680</v>
      </c>
      <c r="K98" s="7"/>
      <c r="L98" s="5" t="s">
        <v>10</v>
      </c>
      <c r="M98" s="5" t="s">
        <v>25</v>
      </c>
      <c r="N98" s="6">
        <v>33533.949999999997</v>
      </c>
      <c r="O98" s="6">
        <v>23876.42</v>
      </c>
      <c r="P98" s="5" t="s">
        <v>0</v>
      </c>
    </row>
    <row r="99" spans="1:16" ht="18" customHeight="1" x14ac:dyDescent="0.3">
      <c r="A99" s="3" t="s">
        <v>355</v>
      </c>
      <c r="B99" s="3" t="s">
        <v>354</v>
      </c>
      <c r="C99" s="1" t="s">
        <v>22</v>
      </c>
      <c r="D99" s="3">
        <v>61</v>
      </c>
      <c r="E99" s="1" t="s">
        <v>21</v>
      </c>
      <c r="F99" s="1" t="s">
        <v>20</v>
      </c>
      <c r="G99" s="1" t="s">
        <v>19</v>
      </c>
      <c r="H99" s="2">
        <v>61271.4</v>
      </c>
      <c r="I99" s="2">
        <v>0</v>
      </c>
      <c r="J99" s="4">
        <v>44607</v>
      </c>
      <c r="K99" s="3"/>
      <c r="L99" s="1" t="s">
        <v>2</v>
      </c>
      <c r="M99" s="1" t="s">
        <v>17</v>
      </c>
      <c r="N99" s="2">
        <v>16378.78</v>
      </c>
      <c r="O99" s="2">
        <v>3135.02</v>
      </c>
      <c r="P99" s="1" t="s">
        <v>0</v>
      </c>
    </row>
    <row r="100" spans="1:16" ht="18" customHeight="1" x14ac:dyDescent="0.3">
      <c r="A100" s="7" t="s">
        <v>353</v>
      </c>
      <c r="B100" s="7" t="s">
        <v>352</v>
      </c>
      <c r="C100" s="5" t="s">
        <v>14</v>
      </c>
      <c r="D100" s="7">
        <v>25</v>
      </c>
      <c r="E100" s="5" t="s">
        <v>13</v>
      </c>
      <c r="F100" s="5" t="s">
        <v>12</v>
      </c>
      <c r="G100" s="5" t="s">
        <v>11</v>
      </c>
      <c r="H100" s="6">
        <v>273952.11</v>
      </c>
      <c r="I100" s="6">
        <v>0</v>
      </c>
      <c r="J100" s="8">
        <v>44805</v>
      </c>
      <c r="K100" s="7"/>
      <c r="L100" s="5" t="s">
        <v>26</v>
      </c>
      <c r="M100" s="5" t="s">
        <v>9</v>
      </c>
      <c r="N100" s="6">
        <v>29457.53</v>
      </c>
      <c r="O100" s="6">
        <v>23574.79</v>
      </c>
      <c r="P100" s="5" t="s">
        <v>0</v>
      </c>
    </row>
    <row r="101" spans="1:16" ht="18" customHeight="1" x14ac:dyDescent="0.3">
      <c r="A101" s="3" t="s">
        <v>351</v>
      </c>
      <c r="B101" s="3" t="s">
        <v>350</v>
      </c>
      <c r="C101" s="1" t="s">
        <v>6</v>
      </c>
      <c r="D101" s="3">
        <v>47</v>
      </c>
      <c r="E101" s="1" t="s">
        <v>5</v>
      </c>
      <c r="F101" s="1" t="s">
        <v>4</v>
      </c>
      <c r="G101" s="1" t="s">
        <v>3</v>
      </c>
      <c r="H101" s="2">
        <v>161930.64000000001</v>
      </c>
      <c r="I101" s="2">
        <v>119285.03</v>
      </c>
      <c r="J101" s="4">
        <v>44596</v>
      </c>
      <c r="K101" s="4">
        <v>44706</v>
      </c>
      <c r="L101" s="1" t="s">
        <v>18</v>
      </c>
      <c r="M101" s="1" t="s">
        <v>1</v>
      </c>
      <c r="N101" s="2">
        <v>28273.65</v>
      </c>
      <c r="O101" s="2">
        <v>12265.12</v>
      </c>
      <c r="P101" s="1" t="s">
        <v>0</v>
      </c>
    </row>
    <row r="102" spans="1:16" ht="18" customHeight="1" x14ac:dyDescent="0.3">
      <c r="A102" s="7" t="s">
        <v>349</v>
      </c>
      <c r="B102" s="7" t="s">
        <v>348</v>
      </c>
      <c r="C102" s="5" t="s">
        <v>77</v>
      </c>
      <c r="D102" s="7">
        <v>51</v>
      </c>
      <c r="E102" s="5" t="s">
        <v>21</v>
      </c>
      <c r="F102" s="5" t="s">
        <v>61</v>
      </c>
      <c r="G102" s="5" t="s">
        <v>40</v>
      </c>
      <c r="H102" s="6">
        <v>266214.81</v>
      </c>
      <c r="I102" s="6">
        <v>0</v>
      </c>
      <c r="J102" s="8">
        <v>44781</v>
      </c>
      <c r="K102" s="7"/>
      <c r="L102" s="5" t="s">
        <v>10</v>
      </c>
      <c r="M102" s="5" t="s">
        <v>60</v>
      </c>
      <c r="N102" s="6">
        <v>29228.959999999999</v>
      </c>
      <c r="O102" s="6">
        <v>51661.74</v>
      </c>
      <c r="P102" s="5" t="s">
        <v>0</v>
      </c>
    </row>
    <row r="103" spans="1:16" ht="18" customHeight="1" x14ac:dyDescent="0.3">
      <c r="A103" s="3" t="s">
        <v>347</v>
      </c>
      <c r="B103" s="3" t="s">
        <v>346</v>
      </c>
      <c r="C103" s="1" t="s">
        <v>74</v>
      </c>
      <c r="D103" s="3">
        <v>31</v>
      </c>
      <c r="E103" s="1" t="s">
        <v>13</v>
      </c>
      <c r="F103" s="1" t="s">
        <v>56</v>
      </c>
      <c r="G103" s="1" t="s">
        <v>34</v>
      </c>
      <c r="H103" s="2">
        <v>167120.60999999999</v>
      </c>
      <c r="I103" s="2">
        <v>0</v>
      </c>
      <c r="J103" s="4">
        <v>45179</v>
      </c>
      <c r="K103" s="3"/>
      <c r="L103" s="1" t="s">
        <v>2</v>
      </c>
      <c r="M103" s="1" t="s">
        <v>55</v>
      </c>
      <c r="N103" s="2">
        <v>16313.23</v>
      </c>
      <c r="O103" s="2">
        <v>18988.03</v>
      </c>
      <c r="P103" s="1" t="s">
        <v>0</v>
      </c>
    </row>
    <row r="104" spans="1:16" ht="18" customHeight="1" x14ac:dyDescent="0.3">
      <c r="A104" s="7" t="s">
        <v>345</v>
      </c>
      <c r="B104" s="7" t="s">
        <v>344</v>
      </c>
      <c r="C104" s="5" t="s">
        <v>71</v>
      </c>
      <c r="D104" s="7">
        <v>31</v>
      </c>
      <c r="E104" s="5" t="s">
        <v>5</v>
      </c>
      <c r="F104" s="5" t="s">
        <v>51</v>
      </c>
      <c r="G104" s="5" t="s">
        <v>27</v>
      </c>
      <c r="H104" s="6">
        <v>55739.13</v>
      </c>
      <c r="I104" s="6">
        <v>0</v>
      </c>
      <c r="J104" s="8">
        <v>45164</v>
      </c>
      <c r="K104" s="7"/>
      <c r="L104" s="5" t="s">
        <v>26</v>
      </c>
      <c r="M104" s="5" t="s">
        <v>50</v>
      </c>
      <c r="N104" s="6">
        <v>29234.560000000001</v>
      </c>
      <c r="O104" s="6">
        <v>4725.96</v>
      </c>
      <c r="P104" s="5" t="s">
        <v>0</v>
      </c>
    </row>
    <row r="105" spans="1:16" ht="18" customHeight="1" x14ac:dyDescent="0.3">
      <c r="A105" s="3" t="s">
        <v>343</v>
      </c>
      <c r="B105" s="3" t="s">
        <v>342</v>
      </c>
      <c r="C105" s="1" t="s">
        <v>68</v>
      </c>
      <c r="D105" s="3">
        <v>64</v>
      </c>
      <c r="E105" s="1" t="s">
        <v>21</v>
      </c>
      <c r="F105" s="1" t="s">
        <v>46</v>
      </c>
      <c r="G105" s="1" t="s">
        <v>19</v>
      </c>
      <c r="H105" s="2">
        <v>190185.75</v>
      </c>
      <c r="I105" s="2">
        <v>162526.79</v>
      </c>
      <c r="J105" s="4">
        <v>44899</v>
      </c>
      <c r="K105" s="4">
        <v>44923</v>
      </c>
      <c r="L105" s="1" t="s">
        <v>18</v>
      </c>
      <c r="M105" s="1" t="s">
        <v>45</v>
      </c>
      <c r="N105" s="2">
        <v>19817.310000000001</v>
      </c>
      <c r="O105" s="2">
        <v>35474.480000000003</v>
      </c>
      <c r="P105" s="1" t="s">
        <v>32</v>
      </c>
    </row>
    <row r="106" spans="1:16" ht="18" customHeight="1" x14ac:dyDescent="0.3">
      <c r="A106" s="7" t="s">
        <v>341</v>
      </c>
      <c r="B106" s="7" t="s">
        <v>340</v>
      </c>
      <c r="C106" s="5" t="s">
        <v>65</v>
      </c>
      <c r="D106" s="7">
        <v>68</v>
      </c>
      <c r="E106" s="5" t="s">
        <v>13</v>
      </c>
      <c r="F106" s="5" t="s">
        <v>41</v>
      </c>
      <c r="G106" s="5" t="s">
        <v>11</v>
      </c>
      <c r="H106" s="6">
        <v>437747.06</v>
      </c>
      <c r="I106" s="6">
        <v>0</v>
      </c>
      <c r="J106" s="8">
        <v>44608</v>
      </c>
      <c r="K106" s="7"/>
      <c r="L106" s="5" t="s">
        <v>10</v>
      </c>
      <c r="M106" s="5" t="s">
        <v>39</v>
      </c>
      <c r="N106" s="6">
        <v>10463.77</v>
      </c>
      <c r="O106" s="6">
        <v>79384.78</v>
      </c>
      <c r="P106" s="5" t="s">
        <v>32</v>
      </c>
    </row>
    <row r="107" spans="1:16" ht="18" customHeight="1" x14ac:dyDescent="0.3">
      <c r="A107" s="3" t="s">
        <v>339</v>
      </c>
      <c r="B107" s="3" t="s">
        <v>338</v>
      </c>
      <c r="C107" s="1" t="s">
        <v>62</v>
      </c>
      <c r="D107" s="3">
        <v>30</v>
      </c>
      <c r="E107" s="1" t="s">
        <v>5</v>
      </c>
      <c r="F107" s="1" t="s">
        <v>35</v>
      </c>
      <c r="G107" s="1" t="s">
        <v>3</v>
      </c>
      <c r="H107" s="2">
        <v>489434.39</v>
      </c>
      <c r="I107" s="2">
        <v>0</v>
      </c>
      <c r="J107" s="4">
        <v>45217</v>
      </c>
      <c r="K107" s="3"/>
      <c r="L107" s="1" t="s">
        <v>2</v>
      </c>
      <c r="M107" s="1" t="s">
        <v>33</v>
      </c>
      <c r="N107" s="2">
        <v>16362.43</v>
      </c>
      <c r="O107" s="2">
        <v>72313.42</v>
      </c>
      <c r="P107" s="1" t="s">
        <v>0</v>
      </c>
    </row>
    <row r="108" spans="1:16" ht="18" customHeight="1" x14ac:dyDescent="0.3">
      <c r="A108" s="7" t="s">
        <v>337</v>
      </c>
      <c r="B108" s="7" t="s">
        <v>336</v>
      </c>
      <c r="C108" s="5" t="s">
        <v>57</v>
      </c>
      <c r="D108" s="7">
        <v>26</v>
      </c>
      <c r="E108" s="5" t="s">
        <v>21</v>
      </c>
      <c r="F108" s="5" t="s">
        <v>28</v>
      </c>
      <c r="G108" s="5" t="s">
        <v>40</v>
      </c>
      <c r="H108" s="6">
        <v>134580.48000000001</v>
      </c>
      <c r="I108" s="6">
        <v>0</v>
      </c>
      <c r="J108" s="8">
        <v>45063</v>
      </c>
      <c r="K108" s="7"/>
      <c r="L108" s="5" t="s">
        <v>26</v>
      </c>
      <c r="M108" s="5" t="s">
        <v>25</v>
      </c>
      <c r="N108" s="6">
        <v>5198.17</v>
      </c>
      <c r="O108" s="6">
        <v>11925.72</v>
      </c>
      <c r="P108" s="5" t="s">
        <v>0</v>
      </c>
    </row>
    <row r="109" spans="1:16" ht="18" customHeight="1" x14ac:dyDescent="0.3">
      <c r="A109" s="3" t="s">
        <v>335</v>
      </c>
      <c r="B109" s="3" t="s">
        <v>334</v>
      </c>
      <c r="C109" s="1" t="s">
        <v>52</v>
      </c>
      <c r="D109" s="3">
        <v>71</v>
      </c>
      <c r="E109" s="1" t="s">
        <v>13</v>
      </c>
      <c r="F109" s="1" t="s">
        <v>20</v>
      </c>
      <c r="G109" s="1" t="s">
        <v>34</v>
      </c>
      <c r="H109" s="2">
        <v>78651.78</v>
      </c>
      <c r="I109" s="2">
        <v>40670.639999999999</v>
      </c>
      <c r="J109" s="4">
        <v>45039</v>
      </c>
      <c r="K109" s="4">
        <v>45102</v>
      </c>
      <c r="L109" s="1" t="s">
        <v>18</v>
      </c>
      <c r="M109" s="1" t="s">
        <v>17</v>
      </c>
      <c r="N109" s="2">
        <v>26665.63</v>
      </c>
      <c r="O109" s="2">
        <v>11733.3</v>
      </c>
      <c r="P109" s="1" t="s">
        <v>0</v>
      </c>
    </row>
    <row r="110" spans="1:16" ht="18" customHeight="1" x14ac:dyDescent="0.3">
      <c r="A110" s="7" t="s">
        <v>333</v>
      </c>
      <c r="B110" s="7" t="s">
        <v>332</v>
      </c>
      <c r="C110" s="5" t="s">
        <v>47</v>
      </c>
      <c r="D110" s="7">
        <v>24</v>
      </c>
      <c r="E110" s="5" t="s">
        <v>5</v>
      </c>
      <c r="F110" s="5" t="s">
        <v>12</v>
      </c>
      <c r="G110" s="5" t="s">
        <v>27</v>
      </c>
      <c r="H110" s="6">
        <v>455328.29</v>
      </c>
      <c r="I110" s="6">
        <v>0</v>
      </c>
      <c r="J110" s="8">
        <v>45034</v>
      </c>
      <c r="K110" s="7"/>
      <c r="L110" s="5" t="s">
        <v>10</v>
      </c>
      <c r="M110" s="5" t="s">
        <v>9</v>
      </c>
      <c r="N110" s="6">
        <v>10341.01</v>
      </c>
      <c r="O110" s="6">
        <v>54968.33</v>
      </c>
      <c r="P110" s="5" t="s">
        <v>0</v>
      </c>
    </row>
    <row r="111" spans="1:16" ht="18" customHeight="1" x14ac:dyDescent="0.3">
      <c r="A111" s="3" t="s">
        <v>331</v>
      </c>
      <c r="B111" s="3" t="s">
        <v>330</v>
      </c>
      <c r="C111" s="1" t="s">
        <v>42</v>
      </c>
      <c r="D111" s="3">
        <v>43</v>
      </c>
      <c r="E111" s="1" t="s">
        <v>21</v>
      </c>
      <c r="F111" s="1" t="s">
        <v>4</v>
      </c>
      <c r="G111" s="1" t="s">
        <v>19</v>
      </c>
      <c r="H111" s="2">
        <v>70752.89</v>
      </c>
      <c r="I111" s="2">
        <v>0</v>
      </c>
      <c r="J111" s="4">
        <v>45010</v>
      </c>
      <c r="K111" s="3"/>
      <c r="L111" s="1" t="s">
        <v>2</v>
      </c>
      <c r="M111" s="1" t="s">
        <v>1</v>
      </c>
      <c r="N111" s="2">
        <v>21154.01</v>
      </c>
      <c r="O111" s="2">
        <v>14048.15</v>
      </c>
      <c r="P111" s="1" t="s">
        <v>0</v>
      </c>
    </row>
    <row r="112" spans="1:16" ht="18" customHeight="1" x14ac:dyDescent="0.3">
      <c r="A112" s="7" t="s">
        <v>329</v>
      </c>
      <c r="B112" s="7" t="s">
        <v>328</v>
      </c>
      <c r="C112" s="5" t="s">
        <v>36</v>
      </c>
      <c r="D112" s="7">
        <v>54</v>
      </c>
      <c r="E112" s="5" t="s">
        <v>13</v>
      </c>
      <c r="F112" s="5" t="s">
        <v>61</v>
      </c>
      <c r="G112" s="5" t="s">
        <v>11</v>
      </c>
      <c r="H112" s="6">
        <v>264736.18</v>
      </c>
      <c r="I112" s="6">
        <v>0</v>
      </c>
      <c r="J112" s="8">
        <v>44743</v>
      </c>
      <c r="K112" s="7"/>
      <c r="L112" s="5" t="s">
        <v>26</v>
      </c>
      <c r="M112" s="5" t="s">
        <v>60</v>
      </c>
      <c r="N112" s="6">
        <v>22965.74</v>
      </c>
      <c r="O112" s="6">
        <v>37610.449999999997</v>
      </c>
      <c r="P112" s="5" t="s">
        <v>0</v>
      </c>
    </row>
    <row r="113" spans="1:16" ht="18" customHeight="1" x14ac:dyDescent="0.3">
      <c r="A113" s="3" t="s">
        <v>327</v>
      </c>
      <c r="B113" s="3" t="s">
        <v>326</v>
      </c>
      <c r="C113" s="1" t="s">
        <v>29</v>
      </c>
      <c r="D113" s="3">
        <v>28</v>
      </c>
      <c r="E113" s="1" t="s">
        <v>5</v>
      </c>
      <c r="F113" s="1" t="s">
        <v>56</v>
      </c>
      <c r="G113" s="1" t="s">
        <v>3</v>
      </c>
      <c r="H113" s="2">
        <v>289567.33</v>
      </c>
      <c r="I113" s="2">
        <v>186898.84</v>
      </c>
      <c r="J113" s="4">
        <v>44847</v>
      </c>
      <c r="K113" s="4">
        <v>44919</v>
      </c>
      <c r="L113" s="1" t="s">
        <v>18</v>
      </c>
      <c r="M113" s="1" t="s">
        <v>55</v>
      </c>
      <c r="N113" s="2">
        <v>10381.74</v>
      </c>
      <c r="O113" s="2">
        <v>39431.269999999997</v>
      </c>
      <c r="P113" s="1" t="s">
        <v>0</v>
      </c>
    </row>
    <row r="114" spans="1:16" ht="18" customHeight="1" x14ac:dyDescent="0.3">
      <c r="A114" s="7" t="s">
        <v>325</v>
      </c>
      <c r="B114" s="7" t="s">
        <v>324</v>
      </c>
      <c r="C114" s="5" t="s">
        <v>22</v>
      </c>
      <c r="D114" s="7">
        <v>66</v>
      </c>
      <c r="E114" s="5" t="s">
        <v>21</v>
      </c>
      <c r="F114" s="5" t="s">
        <v>51</v>
      </c>
      <c r="G114" s="5" t="s">
        <v>40</v>
      </c>
      <c r="H114" s="6">
        <v>16386.330000000002</v>
      </c>
      <c r="I114" s="6">
        <v>0</v>
      </c>
      <c r="J114" s="8">
        <v>45203</v>
      </c>
      <c r="K114" s="7"/>
      <c r="L114" s="5" t="s">
        <v>10</v>
      </c>
      <c r="M114" s="5" t="s">
        <v>50</v>
      </c>
      <c r="N114" s="6">
        <v>15792.31</v>
      </c>
      <c r="O114" s="6">
        <v>1793.88</v>
      </c>
      <c r="P114" s="5" t="s">
        <v>0</v>
      </c>
    </row>
    <row r="115" spans="1:16" ht="18" customHeight="1" x14ac:dyDescent="0.3">
      <c r="A115" s="3" t="s">
        <v>323</v>
      </c>
      <c r="B115" s="3" t="s">
        <v>322</v>
      </c>
      <c r="C115" s="1" t="s">
        <v>14</v>
      </c>
      <c r="D115" s="3">
        <v>56</v>
      </c>
      <c r="E115" s="1" t="s">
        <v>13</v>
      </c>
      <c r="F115" s="1" t="s">
        <v>46</v>
      </c>
      <c r="G115" s="1" t="s">
        <v>34</v>
      </c>
      <c r="H115" s="2">
        <v>319795.64</v>
      </c>
      <c r="I115" s="2">
        <v>0</v>
      </c>
      <c r="J115" s="4">
        <v>45194</v>
      </c>
      <c r="K115" s="3"/>
      <c r="L115" s="1" t="s">
        <v>2</v>
      </c>
      <c r="M115" s="1" t="s">
        <v>45</v>
      </c>
      <c r="N115" s="2">
        <v>6206.17</v>
      </c>
      <c r="O115" s="2">
        <v>23859.17</v>
      </c>
      <c r="P115" s="1" t="s">
        <v>0</v>
      </c>
    </row>
    <row r="116" spans="1:16" ht="18" customHeight="1" x14ac:dyDescent="0.3">
      <c r="A116" s="7" t="s">
        <v>321</v>
      </c>
      <c r="B116" s="7" t="s">
        <v>320</v>
      </c>
      <c r="C116" s="5" t="s">
        <v>6</v>
      </c>
      <c r="D116" s="7">
        <v>21</v>
      </c>
      <c r="E116" s="5" t="s">
        <v>5</v>
      </c>
      <c r="F116" s="5" t="s">
        <v>41</v>
      </c>
      <c r="G116" s="5" t="s">
        <v>27</v>
      </c>
      <c r="H116" s="6">
        <v>407438.93</v>
      </c>
      <c r="I116" s="6">
        <v>0</v>
      </c>
      <c r="J116" s="8">
        <v>44903</v>
      </c>
      <c r="K116" s="7"/>
      <c r="L116" s="5" t="s">
        <v>26</v>
      </c>
      <c r="M116" s="5" t="s">
        <v>39</v>
      </c>
      <c r="N116" s="6">
        <v>13055.17</v>
      </c>
      <c r="O116" s="6">
        <v>72793.509999999995</v>
      </c>
      <c r="P116" s="5" t="s">
        <v>0</v>
      </c>
    </row>
    <row r="117" spans="1:16" ht="18" customHeight="1" x14ac:dyDescent="0.3">
      <c r="A117" s="3" t="s">
        <v>319</v>
      </c>
      <c r="B117" s="3" t="s">
        <v>318</v>
      </c>
      <c r="C117" s="1" t="s">
        <v>77</v>
      </c>
      <c r="D117" s="3">
        <v>44</v>
      </c>
      <c r="E117" s="1" t="s">
        <v>21</v>
      </c>
      <c r="F117" s="1" t="s">
        <v>35</v>
      </c>
      <c r="G117" s="1" t="s">
        <v>19</v>
      </c>
      <c r="H117" s="2">
        <v>168795.68</v>
      </c>
      <c r="I117" s="2">
        <v>131474.42000000001</v>
      </c>
      <c r="J117" s="4">
        <v>45170</v>
      </c>
      <c r="K117" s="4">
        <v>45286</v>
      </c>
      <c r="L117" s="1" t="s">
        <v>18</v>
      </c>
      <c r="M117" s="1" t="s">
        <v>33</v>
      </c>
      <c r="N117" s="2">
        <v>9071.73</v>
      </c>
      <c r="O117" s="2">
        <v>24667.61</v>
      </c>
      <c r="P117" s="1" t="s">
        <v>0</v>
      </c>
    </row>
    <row r="118" spans="1:16" ht="18" customHeight="1" x14ac:dyDescent="0.3">
      <c r="A118" s="7" t="s">
        <v>317</v>
      </c>
      <c r="B118" s="7" t="s">
        <v>316</v>
      </c>
      <c r="C118" s="5" t="s">
        <v>74</v>
      </c>
      <c r="D118" s="7">
        <v>61</v>
      </c>
      <c r="E118" s="5" t="s">
        <v>13</v>
      </c>
      <c r="F118" s="5" t="s">
        <v>28</v>
      </c>
      <c r="G118" s="5" t="s">
        <v>11</v>
      </c>
      <c r="H118" s="6">
        <v>489791.16</v>
      </c>
      <c r="I118" s="6">
        <v>0</v>
      </c>
      <c r="J118" s="8">
        <v>44906</v>
      </c>
      <c r="K118" s="7"/>
      <c r="L118" s="5" t="s">
        <v>10</v>
      </c>
      <c r="M118" s="5" t="s">
        <v>25</v>
      </c>
      <c r="N118" s="6">
        <v>2635.92</v>
      </c>
      <c r="O118" s="6">
        <v>70567.490000000005</v>
      </c>
      <c r="P118" s="5" t="s">
        <v>0</v>
      </c>
    </row>
    <row r="119" spans="1:16" ht="18" customHeight="1" x14ac:dyDescent="0.3">
      <c r="A119" s="3" t="s">
        <v>315</v>
      </c>
      <c r="B119" s="3" t="s">
        <v>314</v>
      </c>
      <c r="C119" s="1" t="s">
        <v>71</v>
      </c>
      <c r="D119" s="3">
        <v>55</v>
      </c>
      <c r="E119" s="1" t="s">
        <v>5</v>
      </c>
      <c r="F119" s="1" t="s">
        <v>20</v>
      </c>
      <c r="G119" s="1" t="s">
        <v>3</v>
      </c>
      <c r="H119" s="2">
        <v>370433.33</v>
      </c>
      <c r="I119" s="2">
        <v>0</v>
      </c>
      <c r="J119" s="4">
        <v>44860</v>
      </c>
      <c r="K119" s="3"/>
      <c r="L119" s="1" t="s">
        <v>2</v>
      </c>
      <c r="M119" s="1" t="s">
        <v>17</v>
      </c>
      <c r="N119" s="2">
        <v>38980.660000000003</v>
      </c>
      <c r="O119" s="2">
        <v>46812.54</v>
      </c>
      <c r="P119" s="1" t="s">
        <v>0</v>
      </c>
    </row>
    <row r="120" spans="1:16" ht="18" customHeight="1" x14ac:dyDescent="0.3">
      <c r="A120" s="7" t="s">
        <v>313</v>
      </c>
      <c r="B120" s="7" t="s">
        <v>312</v>
      </c>
      <c r="C120" s="5" t="s">
        <v>68</v>
      </c>
      <c r="D120" s="7">
        <v>47</v>
      </c>
      <c r="E120" s="5" t="s">
        <v>21</v>
      </c>
      <c r="F120" s="5" t="s">
        <v>12</v>
      </c>
      <c r="G120" s="5" t="s">
        <v>40</v>
      </c>
      <c r="H120" s="6">
        <v>418250.66</v>
      </c>
      <c r="I120" s="6">
        <v>0</v>
      </c>
      <c r="J120" s="8">
        <v>44618</v>
      </c>
      <c r="K120" s="7"/>
      <c r="L120" s="5" t="s">
        <v>26</v>
      </c>
      <c r="M120" s="5" t="s">
        <v>9</v>
      </c>
      <c r="N120" s="6">
        <v>11645.93</v>
      </c>
      <c r="O120" s="6">
        <v>81061.919999999998</v>
      </c>
      <c r="P120" s="5" t="s">
        <v>0</v>
      </c>
    </row>
    <row r="121" spans="1:16" ht="18" customHeight="1" x14ac:dyDescent="0.3">
      <c r="A121" s="3" t="s">
        <v>311</v>
      </c>
      <c r="B121" s="3" t="s">
        <v>310</v>
      </c>
      <c r="C121" s="1" t="s">
        <v>65</v>
      </c>
      <c r="D121" s="3">
        <v>70</v>
      </c>
      <c r="E121" s="1" t="s">
        <v>13</v>
      </c>
      <c r="F121" s="1" t="s">
        <v>4</v>
      </c>
      <c r="G121" s="1" t="s">
        <v>34</v>
      </c>
      <c r="H121" s="2">
        <v>377145.02</v>
      </c>
      <c r="I121" s="2">
        <v>261218.58</v>
      </c>
      <c r="J121" s="4">
        <v>44600</v>
      </c>
      <c r="K121" s="4">
        <v>44645</v>
      </c>
      <c r="L121" s="1" t="s">
        <v>18</v>
      </c>
      <c r="M121" s="1" t="s">
        <v>1</v>
      </c>
      <c r="N121" s="2">
        <v>8875.2199999999993</v>
      </c>
      <c r="O121" s="2">
        <v>75145.97</v>
      </c>
      <c r="P121" s="1" t="s">
        <v>0</v>
      </c>
    </row>
    <row r="122" spans="1:16" ht="18" customHeight="1" x14ac:dyDescent="0.3">
      <c r="A122" s="7" t="s">
        <v>309</v>
      </c>
      <c r="B122" s="7" t="s">
        <v>308</v>
      </c>
      <c r="C122" s="5" t="s">
        <v>62</v>
      </c>
      <c r="D122" s="7">
        <v>46</v>
      </c>
      <c r="E122" s="5" t="s">
        <v>5</v>
      </c>
      <c r="F122" s="5" t="s">
        <v>61</v>
      </c>
      <c r="G122" s="5" t="s">
        <v>27</v>
      </c>
      <c r="H122" s="6">
        <v>274443.98</v>
      </c>
      <c r="I122" s="6">
        <v>0</v>
      </c>
      <c r="J122" s="8">
        <v>44989</v>
      </c>
      <c r="K122" s="7"/>
      <c r="L122" s="5" t="s">
        <v>10</v>
      </c>
      <c r="M122" s="5" t="s">
        <v>60</v>
      </c>
      <c r="N122" s="6">
        <v>2463.77</v>
      </c>
      <c r="O122" s="6">
        <v>41423.83</v>
      </c>
      <c r="P122" s="5" t="s">
        <v>0</v>
      </c>
    </row>
    <row r="123" spans="1:16" ht="18" customHeight="1" x14ac:dyDescent="0.3">
      <c r="A123" s="3" t="s">
        <v>307</v>
      </c>
      <c r="B123" s="3" t="s">
        <v>306</v>
      </c>
      <c r="C123" s="1" t="s">
        <v>57</v>
      </c>
      <c r="D123" s="3">
        <v>27</v>
      </c>
      <c r="E123" s="1" t="s">
        <v>21</v>
      </c>
      <c r="F123" s="1" t="s">
        <v>56</v>
      </c>
      <c r="G123" s="1" t="s">
        <v>19</v>
      </c>
      <c r="H123" s="2">
        <v>166022.87</v>
      </c>
      <c r="I123" s="2">
        <v>0</v>
      </c>
      <c r="J123" s="4">
        <v>44924</v>
      </c>
      <c r="K123" s="3"/>
      <c r="L123" s="1" t="s">
        <v>2</v>
      </c>
      <c r="M123" s="1" t="s">
        <v>55</v>
      </c>
      <c r="N123" s="2">
        <v>42155.24</v>
      </c>
      <c r="O123" s="2">
        <v>31900.25</v>
      </c>
      <c r="P123" s="1" t="s">
        <v>0</v>
      </c>
    </row>
    <row r="124" spans="1:16" ht="18" customHeight="1" x14ac:dyDescent="0.3">
      <c r="A124" s="7" t="s">
        <v>305</v>
      </c>
      <c r="B124" s="7" t="s">
        <v>304</v>
      </c>
      <c r="C124" s="5" t="s">
        <v>52</v>
      </c>
      <c r="D124" s="7">
        <v>29</v>
      </c>
      <c r="E124" s="5" t="s">
        <v>13</v>
      </c>
      <c r="F124" s="5" t="s">
        <v>51</v>
      </c>
      <c r="G124" s="5" t="s">
        <v>11</v>
      </c>
      <c r="H124" s="6">
        <v>304955.86</v>
      </c>
      <c r="I124" s="6">
        <v>0</v>
      </c>
      <c r="J124" s="8">
        <v>44890</v>
      </c>
      <c r="K124" s="7"/>
      <c r="L124" s="5" t="s">
        <v>26</v>
      </c>
      <c r="M124" s="5" t="s">
        <v>50</v>
      </c>
      <c r="N124" s="6">
        <v>47329.17</v>
      </c>
      <c r="O124" s="6">
        <v>30095.74</v>
      </c>
      <c r="P124" s="5" t="s">
        <v>32</v>
      </c>
    </row>
    <row r="125" spans="1:16" ht="18" customHeight="1" x14ac:dyDescent="0.3">
      <c r="A125" s="3" t="s">
        <v>303</v>
      </c>
      <c r="B125" s="3" t="s">
        <v>302</v>
      </c>
      <c r="C125" s="1" t="s">
        <v>47</v>
      </c>
      <c r="D125" s="3">
        <v>63</v>
      </c>
      <c r="E125" s="1" t="s">
        <v>5</v>
      </c>
      <c r="F125" s="1" t="s">
        <v>46</v>
      </c>
      <c r="G125" s="1" t="s">
        <v>3</v>
      </c>
      <c r="H125" s="2">
        <v>377421.51</v>
      </c>
      <c r="I125" s="2">
        <v>200818.47</v>
      </c>
      <c r="J125" s="4">
        <v>44990</v>
      </c>
      <c r="K125" s="4">
        <v>45015</v>
      </c>
      <c r="L125" s="1" t="s">
        <v>18</v>
      </c>
      <c r="M125" s="1" t="s">
        <v>45</v>
      </c>
      <c r="N125" s="2">
        <v>43300.39</v>
      </c>
      <c r="O125" s="2">
        <v>63948.44</v>
      </c>
      <c r="P125" s="1" t="s">
        <v>0</v>
      </c>
    </row>
    <row r="126" spans="1:16" ht="18" customHeight="1" x14ac:dyDescent="0.3">
      <c r="A126" s="7" t="s">
        <v>301</v>
      </c>
      <c r="B126" s="7" t="s">
        <v>300</v>
      </c>
      <c r="C126" s="5" t="s">
        <v>42</v>
      </c>
      <c r="D126" s="7">
        <v>38</v>
      </c>
      <c r="E126" s="5" t="s">
        <v>21</v>
      </c>
      <c r="F126" s="5" t="s">
        <v>41</v>
      </c>
      <c r="G126" s="5" t="s">
        <v>40</v>
      </c>
      <c r="H126" s="6">
        <v>278388.65000000002</v>
      </c>
      <c r="I126" s="6">
        <v>0</v>
      </c>
      <c r="J126" s="8">
        <v>45253</v>
      </c>
      <c r="K126" s="7"/>
      <c r="L126" s="5" t="s">
        <v>10</v>
      </c>
      <c r="M126" s="5" t="s">
        <v>39</v>
      </c>
      <c r="N126" s="6">
        <v>7096.38</v>
      </c>
      <c r="O126" s="6">
        <v>43282.79</v>
      </c>
      <c r="P126" s="5" t="s">
        <v>0</v>
      </c>
    </row>
    <row r="127" spans="1:16" ht="18" customHeight="1" x14ac:dyDescent="0.3">
      <c r="A127" s="3" t="s">
        <v>299</v>
      </c>
      <c r="B127" s="3" t="s">
        <v>298</v>
      </c>
      <c r="C127" s="1" t="s">
        <v>36</v>
      </c>
      <c r="D127" s="3">
        <v>20</v>
      </c>
      <c r="E127" s="1" t="s">
        <v>13</v>
      </c>
      <c r="F127" s="1" t="s">
        <v>35</v>
      </c>
      <c r="G127" s="1" t="s">
        <v>34</v>
      </c>
      <c r="H127" s="2">
        <v>256949.18</v>
      </c>
      <c r="I127" s="2">
        <v>0</v>
      </c>
      <c r="J127" s="4">
        <v>44774</v>
      </c>
      <c r="K127" s="3"/>
      <c r="L127" s="1" t="s">
        <v>2</v>
      </c>
      <c r="M127" s="1" t="s">
        <v>33</v>
      </c>
      <c r="N127" s="2">
        <v>49711.4</v>
      </c>
      <c r="O127" s="2">
        <v>48775.66</v>
      </c>
      <c r="P127" s="1" t="s">
        <v>0</v>
      </c>
    </row>
    <row r="128" spans="1:16" ht="18" customHeight="1" x14ac:dyDescent="0.3">
      <c r="A128" s="7" t="s">
        <v>297</v>
      </c>
      <c r="B128" s="7" t="s">
        <v>296</v>
      </c>
      <c r="C128" s="5" t="s">
        <v>29</v>
      </c>
      <c r="D128" s="7">
        <v>47</v>
      </c>
      <c r="E128" s="5" t="s">
        <v>5</v>
      </c>
      <c r="F128" s="5" t="s">
        <v>28</v>
      </c>
      <c r="G128" s="5" t="s">
        <v>27</v>
      </c>
      <c r="H128" s="6">
        <v>277322.40999999997</v>
      </c>
      <c r="I128" s="6">
        <v>0</v>
      </c>
      <c r="J128" s="8">
        <v>45112</v>
      </c>
      <c r="K128" s="7"/>
      <c r="L128" s="5" t="s">
        <v>26</v>
      </c>
      <c r="M128" s="5" t="s">
        <v>25</v>
      </c>
      <c r="N128" s="6">
        <v>45476.78</v>
      </c>
      <c r="O128" s="6">
        <v>32473.040000000001</v>
      </c>
      <c r="P128" s="5" t="s">
        <v>0</v>
      </c>
    </row>
    <row r="129" spans="1:16" ht="18" customHeight="1" x14ac:dyDescent="0.3">
      <c r="A129" s="3" t="s">
        <v>295</v>
      </c>
      <c r="B129" s="3" t="s">
        <v>294</v>
      </c>
      <c r="C129" s="1" t="s">
        <v>22</v>
      </c>
      <c r="D129" s="3">
        <v>49</v>
      </c>
      <c r="E129" s="1" t="s">
        <v>21</v>
      </c>
      <c r="F129" s="1" t="s">
        <v>20</v>
      </c>
      <c r="G129" s="1" t="s">
        <v>19</v>
      </c>
      <c r="H129" s="2">
        <v>171653.13</v>
      </c>
      <c r="I129" s="2">
        <v>144924.5</v>
      </c>
      <c r="J129" s="4">
        <v>44856</v>
      </c>
      <c r="K129" s="4">
        <v>44889</v>
      </c>
      <c r="L129" s="1" t="s">
        <v>18</v>
      </c>
      <c r="M129" s="1" t="s">
        <v>17</v>
      </c>
      <c r="N129" s="2">
        <v>15513.97</v>
      </c>
      <c r="O129" s="2">
        <v>25338.87</v>
      </c>
      <c r="P129" s="1" t="s">
        <v>0</v>
      </c>
    </row>
    <row r="130" spans="1:16" ht="18" customHeight="1" x14ac:dyDescent="0.3">
      <c r="A130" s="7" t="s">
        <v>293</v>
      </c>
      <c r="B130" s="7" t="s">
        <v>292</v>
      </c>
      <c r="C130" s="5" t="s">
        <v>14</v>
      </c>
      <c r="D130" s="7">
        <v>47</v>
      </c>
      <c r="E130" s="5" t="s">
        <v>13</v>
      </c>
      <c r="F130" s="5" t="s">
        <v>12</v>
      </c>
      <c r="G130" s="5" t="s">
        <v>11</v>
      </c>
      <c r="H130" s="6">
        <v>61601.11</v>
      </c>
      <c r="I130" s="6">
        <v>0</v>
      </c>
      <c r="J130" s="8">
        <v>44920</v>
      </c>
      <c r="K130" s="7"/>
      <c r="L130" s="5" t="s">
        <v>10</v>
      </c>
      <c r="M130" s="5" t="s">
        <v>9</v>
      </c>
      <c r="N130" s="6">
        <v>20987.5</v>
      </c>
      <c r="O130" s="6">
        <v>9335.6299999999992</v>
      </c>
      <c r="P130" s="5" t="s">
        <v>0</v>
      </c>
    </row>
    <row r="131" spans="1:16" ht="18" customHeight="1" x14ac:dyDescent="0.3">
      <c r="A131" s="3" t="s">
        <v>291</v>
      </c>
      <c r="B131" s="3" t="s">
        <v>290</v>
      </c>
      <c r="C131" s="1" t="s">
        <v>6</v>
      </c>
      <c r="D131" s="3">
        <v>46</v>
      </c>
      <c r="E131" s="1" t="s">
        <v>5</v>
      </c>
      <c r="F131" s="1" t="s">
        <v>4</v>
      </c>
      <c r="G131" s="1" t="s">
        <v>3</v>
      </c>
      <c r="H131" s="2">
        <v>463655.11</v>
      </c>
      <c r="I131" s="2">
        <v>0</v>
      </c>
      <c r="J131" s="4">
        <v>44715</v>
      </c>
      <c r="K131" s="3"/>
      <c r="L131" s="1" t="s">
        <v>2</v>
      </c>
      <c r="M131" s="1" t="s">
        <v>1</v>
      </c>
      <c r="N131" s="2">
        <v>27705.96</v>
      </c>
      <c r="O131" s="2">
        <v>80846.039999999994</v>
      </c>
      <c r="P131" s="1" t="s">
        <v>0</v>
      </c>
    </row>
    <row r="132" spans="1:16" ht="18" customHeight="1" x14ac:dyDescent="0.3">
      <c r="A132" s="7" t="s">
        <v>289</v>
      </c>
      <c r="B132" s="7" t="s">
        <v>288</v>
      </c>
      <c r="C132" s="5" t="s">
        <v>77</v>
      </c>
      <c r="D132" s="7">
        <v>59</v>
      </c>
      <c r="E132" s="5" t="s">
        <v>21</v>
      </c>
      <c r="F132" s="5" t="s">
        <v>61</v>
      </c>
      <c r="G132" s="5" t="s">
        <v>40</v>
      </c>
      <c r="H132" s="6">
        <v>169579.06</v>
      </c>
      <c r="I132" s="6">
        <v>0</v>
      </c>
      <c r="J132" s="8">
        <v>45191</v>
      </c>
      <c r="K132" s="7"/>
      <c r="L132" s="5" t="s">
        <v>26</v>
      </c>
      <c r="M132" s="5" t="s">
        <v>60</v>
      </c>
      <c r="N132" s="6">
        <v>3385.24</v>
      </c>
      <c r="O132" s="6">
        <v>16116.28</v>
      </c>
      <c r="P132" s="5" t="s">
        <v>0</v>
      </c>
    </row>
    <row r="133" spans="1:16" ht="18" customHeight="1" x14ac:dyDescent="0.3">
      <c r="A133" s="3" t="s">
        <v>287</v>
      </c>
      <c r="B133" s="3" t="s">
        <v>286</v>
      </c>
      <c r="C133" s="1" t="s">
        <v>74</v>
      </c>
      <c r="D133" s="3">
        <v>56</v>
      </c>
      <c r="E133" s="1" t="s">
        <v>13</v>
      </c>
      <c r="F133" s="1" t="s">
        <v>56</v>
      </c>
      <c r="G133" s="1" t="s">
        <v>34</v>
      </c>
      <c r="H133" s="2">
        <v>231144.57</v>
      </c>
      <c r="I133" s="2">
        <v>140034.82999999999</v>
      </c>
      <c r="J133" s="4">
        <v>44700</v>
      </c>
      <c r="K133" s="4">
        <v>44724</v>
      </c>
      <c r="L133" s="1" t="s">
        <v>18</v>
      </c>
      <c r="M133" s="1" t="s">
        <v>55</v>
      </c>
      <c r="N133" s="2">
        <v>35714.980000000003</v>
      </c>
      <c r="O133" s="2">
        <v>41973.86</v>
      </c>
      <c r="P133" s="1" t="s">
        <v>0</v>
      </c>
    </row>
    <row r="134" spans="1:16" ht="18" customHeight="1" x14ac:dyDescent="0.3">
      <c r="A134" s="7" t="s">
        <v>285</v>
      </c>
      <c r="B134" s="7" t="s">
        <v>284</v>
      </c>
      <c r="C134" s="5" t="s">
        <v>71</v>
      </c>
      <c r="D134" s="7">
        <v>38</v>
      </c>
      <c r="E134" s="5" t="s">
        <v>5</v>
      </c>
      <c r="F134" s="5" t="s">
        <v>51</v>
      </c>
      <c r="G134" s="5" t="s">
        <v>27</v>
      </c>
      <c r="H134" s="6">
        <v>163275.19</v>
      </c>
      <c r="I134" s="6">
        <v>0</v>
      </c>
      <c r="J134" s="8">
        <v>45003</v>
      </c>
      <c r="K134" s="7"/>
      <c r="L134" s="5" t="s">
        <v>10</v>
      </c>
      <c r="M134" s="5" t="s">
        <v>50</v>
      </c>
      <c r="N134" s="6">
        <v>18293.080000000002</v>
      </c>
      <c r="O134" s="6">
        <v>13677.07</v>
      </c>
      <c r="P134" s="5" t="s">
        <v>0</v>
      </c>
    </row>
    <row r="135" spans="1:16" ht="18" customHeight="1" x14ac:dyDescent="0.3">
      <c r="A135" s="3" t="s">
        <v>283</v>
      </c>
      <c r="B135" s="3" t="s">
        <v>282</v>
      </c>
      <c r="C135" s="1" t="s">
        <v>68</v>
      </c>
      <c r="D135" s="3">
        <v>35</v>
      </c>
      <c r="E135" s="1" t="s">
        <v>21</v>
      </c>
      <c r="F135" s="1" t="s">
        <v>46</v>
      </c>
      <c r="G135" s="1" t="s">
        <v>19</v>
      </c>
      <c r="H135" s="2">
        <v>416445.1</v>
      </c>
      <c r="I135" s="2">
        <v>0</v>
      </c>
      <c r="J135" s="4">
        <v>44971</v>
      </c>
      <c r="K135" s="3"/>
      <c r="L135" s="1" t="s">
        <v>2</v>
      </c>
      <c r="M135" s="1" t="s">
        <v>45</v>
      </c>
      <c r="N135" s="2">
        <v>17509.2</v>
      </c>
      <c r="O135" s="2">
        <v>34841.339999999997</v>
      </c>
      <c r="P135" s="1" t="s">
        <v>0</v>
      </c>
    </row>
    <row r="136" spans="1:16" ht="18" customHeight="1" x14ac:dyDescent="0.3">
      <c r="A136" s="7" t="s">
        <v>281</v>
      </c>
      <c r="B136" s="7" t="s">
        <v>280</v>
      </c>
      <c r="C136" s="5" t="s">
        <v>65</v>
      </c>
      <c r="D136" s="7">
        <v>30</v>
      </c>
      <c r="E136" s="5" t="s">
        <v>13</v>
      </c>
      <c r="F136" s="5" t="s">
        <v>41</v>
      </c>
      <c r="G136" s="5" t="s">
        <v>11</v>
      </c>
      <c r="H136" s="6">
        <v>349927.47</v>
      </c>
      <c r="I136" s="6">
        <v>0</v>
      </c>
      <c r="J136" s="8">
        <v>44581</v>
      </c>
      <c r="K136" s="7"/>
      <c r="L136" s="5" t="s">
        <v>26</v>
      </c>
      <c r="M136" s="5" t="s">
        <v>39</v>
      </c>
      <c r="N136" s="6">
        <v>31048.82</v>
      </c>
      <c r="O136" s="6">
        <v>30153.99</v>
      </c>
      <c r="P136" s="5" t="s">
        <v>0</v>
      </c>
    </row>
    <row r="137" spans="1:16" ht="18" customHeight="1" x14ac:dyDescent="0.3">
      <c r="A137" s="3" t="s">
        <v>279</v>
      </c>
      <c r="B137" s="3" t="s">
        <v>278</v>
      </c>
      <c r="C137" s="1" t="s">
        <v>62</v>
      </c>
      <c r="D137" s="3">
        <v>30</v>
      </c>
      <c r="E137" s="1" t="s">
        <v>5</v>
      </c>
      <c r="F137" s="1" t="s">
        <v>35</v>
      </c>
      <c r="G137" s="1" t="s">
        <v>3</v>
      </c>
      <c r="H137" s="2">
        <v>337061.83</v>
      </c>
      <c r="I137" s="2">
        <v>288853.61</v>
      </c>
      <c r="J137" s="4">
        <v>45224</v>
      </c>
      <c r="K137" s="4">
        <v>45330</v>
      </c>
      <c r="L137" s="1" t="s">
        <v>18</v>
      </c>
      <c r="M137" s="1" t="s">
        <v>33</v>
      </c>
      <c r="N137" s="2">
        <v>44798.44</v>
      </c>
      <c r="O137" s="2">
        <v>44742.57</v>
      </c>
      <c r="P137" s="1" t="s">
        <v>0</v>
      </c>
    </row>
    <row r="138" spans="1:16" ht="18" customHeight="1" x14ac:dyDescent="0.3">
      <c r="A138" s="7" t="s">
        <v>277</v>
      </c>
      <c r="B138" s="7" t="s">
        <v>276</v>
      </c>
      <c r="C138" s="5" t="s">
        <v>57</v>
      </c>
      <c r="D138" s="7">
        <v>61</v>
      </c>
      <c r="E138" s="5" t="s">
        <v>21</v>
      </c>
      <c r="F138" s="5" t="s">
        <v>28</v>
      </c>
      <c r="G138" s="5" t="s">
        <v>40</v>
      </c>
      <c r="H138" s="6">
        <v>337671.05</v>
      </c>
      <c r="I138" s="6">
        <v>0</v>
      </c>
      <c r="J138" s="8">
        <v>45245</v>
      </c>
      <c r="K138" s="7"/>
      <c r="L138" s="5" t="s">
        <v>10</v>
      </c>
      <c r="M138" s="5" t="s">
        <v>25</v>
      </c>
      <c r="N138" s="6">
        <v>24256.51</v>
      </c>
      <c r="O138" s="6">
        <v>64816.1</v>
      </c>
      <c r="P138" s="5" t="s">
        <v>0</v>
      </c>
    </row>
    <row r="139" spans="1:16" ht="18" customHeight="1" x14ac:dyDescent="0.3">
      <c r="A139" s="3" t="s">
        <v>275</v>
      </c>
      <c r="B139" s="3" t="s">
        <v>274</v>
      </c>
      <c r="C139" s="1" t="s">
        <v>52</v>
      </c>
      <c r="D139" s="3">
        <v>38</v>
      </c>
      <c r="E139" s="1" t="s">
        <v>13</v>
      </c>
      <c r="F139" s="1" t="s">
        <v>20</v>
      </c>
      <c r="G139" s="1" t="s">
        <v>34</v>
      </c>
      <c r="H139" s="2">
        <v>223067.1</v>
      </c>
      <c r="I139" s="2">
        <v>0</v>
      </c>
      <c r="J139" s="4">
        <v>44571</v>
      </c>
      <c r="K139" s="3"/>
      <c r="L139" s="1" t="s">
        <v>2</v>
      </c>
      <c r="M139" s="1" t="s">
        <v>17</v>
      </c>
      <c r="N139" s="2">
        <v>14478.09</v>
      </c>
      <c r="O139" s="2">
        <v>38595.480000000003</v>
      </c>
      <c r="P139" s="1" t="s">
        <v>0</v>
      </c>
    </row>
    <row r="140" spans="1:16" ht="18" customHeight="1" x14ac:dyDescent="0.3">
      <c r="A140" s="7" t="s">
        <v>273</v>
      </c>
      <c r="B140" s="7" t="s">
        <v>272</v>
      </c>
      <c r="C140" s="5" t="s">
        <v>47</v>
      </c>
      <c r="D140" s="7">
        <v>47</v>
      </c>
      <c r="E140" s="5" t="s">
        <v>5</v>
      </c>
      <c r="F140" s="5" t="s">
        <v>12</v>
      </c>
      <c r="G140" s="5" t="s">
        <v>27</v>
      </c>
      <c r="H140" s="6">
        <v>328826.15999999997</v>
      </c>
      <c r="I140" s="6">
        <v>0</v>
      </c>
      <c r="J140" s="8">
        <v>44978</v>
      </c>
      <c r="K140" s="7"/>
      <c r="L140" s="5" t="s">
        <v>26</v>
      </c>
      <c r="M140" s="5" t="s">
        <v>9</v>
      </c>
      <c r="N140" s="6">
        <v>4067.97</v>
      </c>
      <c r="O140" s="6">
        <v>41519.360000000001</v>
      </c>
      <c r="P140" s="5" t="s">
        <v>0</v>
      </c>
    </row>
    <row r="141" spans="1:16" ht="18" customHeight="1" x14ac:dyDescent="0.3">
      <c r="A141" s="3" t="s">
        <v>271</v>
      </c>
      <c r="B141" s="3" t="s">
        <v>270</v>
      </c>
      <c r="C141" s="1" t="s">
        <v>42</v>
      </c>
      <c r="D141" s="3">
        <v>58</v>
      </c>
      <c r="E141" s="1" t="s">
        <v>21</v>
      </c>
      <c r="F141" s="1" t="s">
        <v>4</v>
      </c>
      <c r="G141" s="1" t="s">
        <v>19</v>
      </c>
      <c r="H141" s="2">
        <v>9506.51</v>
      </c>
      <c r="I141" s="2">
        <v>6842.58</v>
      </c>
      <c r="J141" s="4">
        <v>44586</v>
      </c>
      <c r="K141" s="4">
        <v>44660</v>
      </c>
      <c r="L141" s="1" t="s">
        <v>18</v>
      </c>
      <c r="M141" s="1" t="s">
        <v>1</v>
      </c>
      <c r="N141" s="2">
        <v>38098.639999999999</v>
      </c>
      <c r="O141" s="2">
        <v>520.20000000000005</v>
      </c>
      <c r="P141" s="1" t="s">
        <v>0</v>
      </c>
    </row>
    <row r="142" spans="1:16" ht="18" customHeight="1" x14ac:dyDescent="0.3">
      <c r="A142" s="7" t="s">
        <v>269</v>
      </c>
      <c r="B142" s="7" t="s">
        <v>268</v>
      </c>
      <c r="C142" s="5" t="s">
        <v>36</v>
      </c>
      <c r="D142" s="7">
        <v>50</v>
      </c>
      <c r="E142" s="5" t="s">
        <v>13</v>
      </c>
      <c r="F142" s="5" t="s">
        <v>61</v>
      </c>
      <c r="G142" s="5" t="s">
        <v>11</v>
      </c>
      <c r="H142" s="6">
        <v>263326.59999999998</v>
      </c>
      <c r="I142" s="6">
        <v>0</v>
      </c>
      <c r="J142" s="8">
        <v>44608</v>
      </c>
      <c r="K142" s="7"/>
      <c r="L142" s="5" t="s">
        <v>10</v>
      </c>
      <c r="M142" s="5" t="s">
        <v>60</v>
      </c>
      <c r="N142" s="6">
        <v>9568.02</v>
      </c>
      <c r="O142" s="6">
        <v>21395.94</v>
      </c>
      <c r="P142" s="5" t="s">
        <v>32</v>
      </c>
    </row>
    <row r="143" spans="1:16" ht="18" customHeight="1" x14ac:dyDescent="0.3">
      <c r="A143" s="3" t="s">
        <v>267</v>
      </c>
      <c r="B143" s="3" t="s">
        <v>266</v>
      </c>
      <c r="C143" s="1" t="s">
        <v>29</v>
      </c>
      <c r="D143" s="3">
        <v>39</v>
      </c>
      <c r="E143" s="1" t="s">
        <v>5</v>
      </c>
      <c r="F143" s="1" t="s">
        <v>56</v>
      </c>
      <c r="G143" s="1" t="s">
        <v>3</v>
      </c>
      <c r="H143" s="2">
        <v>103997.77</v>
      </c>
      <c r="I143" s="2">
        <v>0</v>
      </c>
      <c r="J143" s="4">
        <v>44947</v>
      </c>
      <c r="K143" s="3"/>
      <c r="L143" s="1" t="s">
        <v>2</v>
      </c>
      <c r="M143" s="1" t="s">
        <v>55</v>
      </c>
      <c r="N143" s="2">
        <v>23750.63</v>
      </c>
      <c r="O143" s="2">
        <v>14631.15</v>
      </c>
      <c r="P143" s="1" t="s">
        <v>32</v>
      </c>
    </row>
    <row r="144" spans="1:16" ht="18" customHeight="1" x14ac:dyDescent="0.3">
      <c r="A144" s="7" t="s">
        <v>265</v>
      </c>
      <c r="B144" s="7" t="s">
        <v>264</v>
      </c>
      <c r="C144" s="5" t="s">
        <v>22</v>
      </c>
      <c r="D144" s="7">
        <v>25</v>
      </c>
      <c r="E144" s="5" t="s">
        <v>21</v>
      </c>
      <c r="F144" s="5" t="s">
        <v>51</v>
      </c>
      <c r="G144" s="5" t="s">
        <v>40</v>
      </c>
      <c r="H144" s="6">
        <v>432130.92</v>
      </c>
      <c r="I144" s="6">
        <v>0</v>
      </c>
      <c r="J144" s="8">
        <v>44709</v>
      </c>
      <c r="K144" s="7"/>
      <c r="L144" s="5" t="s">
        <v>26</v>
      </c>
      <c r="M144" s="5" t="s">
        <v>50</v>
      </c>
      <c r="N144" s="6">
        <v>38585.69</v>
      </c>
      <c r="O144" s="6">
        <v>43483.8</v>
      </c>
      <c r="P144" s="5" t="s">
        <v>0</v>
      </c>
    </row>
    <row r="145" spans="1:16" ht="18" customHeight="1" x14ac:dyDescent="0.3">
      <c r="A145" s="3" t="s">
        <v>263</v>
      </c>
      <c r="B145" s="3" t="s">
        <v>262</v>
      </c>
      <c r="C145" s="1" t="s">
        <v>14</v>
      </c>
      <c r="D145" s="3">
        <v>52</v>
      </c>
      <c r="E145" s="1" t="s">
        <v>13</v>
      </c>
      <c r="F145" s="1" t="s">
        <v>46</v>
      </c>
      <c r="G145" s="1" t="s">
        <v>34</v>
      </c>
      <c r="H145" s="2">
        <v>310734.2</v>
      </c>
      <c r="I145" s="2">
        <v>238411.12</v>
      </c>
      <c r="J145" s="4">
        <v>45279</v>
      </c>
      <c r="K145" s="4">
        <v>45296</v>
      </c>
      <c r="L145" s="1" t="s">
        <v>18</v>
      </c>
      <c r="M145" s="1" t="s">
        <v>45</v>
      </c>
      <c r="N145" s="2">
        <v>6196.19</v>
      </c>
      <c r="O145" s="2">
        <v>25571.7</v>
      </c>
      <c r="P145" s="1" t="s">
        <v>32</v>
      </c>
    </row>
    <row r="146" spans="1:16" ht="18" customHeight="1" x14ac:dyDescent="0.3">
      <c r="A146" s="7" t="s">
        <v>261</v>
      </c>
      <c r="B146" s="7" t="s">
        <v>260</v>
      </c>
      <c r="C146" s="5" t="s">
        <v>6</v>
      </c>
      <c r="D146" s="7">
        <v>53</v>
      </c>
      <c r="E146" s="5" t="s">
        <v>5</v>
      </c>
      <c r="F146" s="5" t="s">
        <v>41</v>
      </c>
      <c r="G146" s="5" t="s">
        <v>27</v>
      </c>
      <c r="H146" s="6">
        <v>476028.03</v>
      </c>
      <c r="I146" s="6">
        <v>0</v>
      </c>
      <c r="J146" s="8">
        <v>44841</v>
      </c>
      <c r="K146" s="7"/>
      <c r="L146" s="5" t="s">
        <v>10</v>
      </c>
      <c r="M146" s="5" t="s">
        <v>39</v>
      </c>
      <c r="N146" s="6">
        <v>23243.77</v>
      </c>
      <c r="O146" s="6">
        <v>82976.039999999994</v>
      </c>
      <c r="P146" s="5" t="s">
        <v>0</v>
      </c>
    </row>
    <row r="147" spans="1:16" ht="18" customHeight="1" x14ac:dyDescent="0.3">
      <c r="A147" s="3" t="s">
        <v>259</v>
      </c>
      <c r="B147" s="3" t="s">
        <v>258</v>
      </c>
      <c r="C147" s="1" t="s">
        <v>77</v>
      </c>
      <c r="D147" s="3">
        <v>71</v>
      </c>
      <c r="E147" s="1" t="s">
        <v>21</v>
      </c>
      <c r="F147" s="1" t="s">
        <v>35</v>
      </c>
      <c r="G147" s="1" t="s">
        <v>19</v>
      </c>
      <c r="H147" s="2">
        <v>355933.88</v>
      </c>
      <c r="I147" s="2">
        <v>0</v>
      </c>
      <c r="J147" s="4">
        <v>45158</v>
      </c>
      <c r="K147" s="3"/>
      <c r="L147" s="1" t="s">
        <v>2</v>
      </c>
      <c r="M147" s="1" t="s">
        <v>33</v>
      </c>
      <c r="N147" s="2">
        <v>6684.04</v>
      </c>
      <c r="O147" s="2">
        <v>66182.460000000006</v>
      </c>
      <c r="P147" s="1" t="s">
        <v>0</v>
      </c>
    </row>
    <row r="148" spans="1:16" ht="18" customHeight="1" x14ac:dyDescent="0.3">
      <c r="A148" s="7" t="s">
        <v>257</v>
      </c>
      <c r="B148" s="7" t="s">
        <v>256</v>
      </c>
      <c r="C148" s="5" t="s">
        <v>74</v>
      </c>
      <c r="D148" s="7">
        <v>68</v>
      </c>
      <c r="E148" s="5" t="s">
        <v>13</v>
      </c>
      <c r="F148" s="5" t="s">
        <v>28</v>
      </c>
      <c r="G148" s="5" t="s">
        <v>11</v>
      </c>
      <c r="H148" s="6">
        <v>465385.68</v>
      </c>
      <c r="I148" s="6">
        <v>0</v>
      </c>
      <c r="J148" s="8">
        <v>44804</v>
      </c>
      <c r="K148" s="7"/>
      <c r="L148" s="5" t="s">
        <v>26</v>
      </c>
      <c r="M148" s="5" t="s">
        <v>25</v>
      </c>
      <c r="N148" s="6">
        <v>21350.54</v>
      </c>
      <c r="O148" s="6">
        <v>69317.98</v>
      </c>
      <c r="P148" s="5" t="s">
        <v>0</v>
      </c>
    </row>
    <row r="149" spans="1:16" ht="18" customHeight="1" x14ac:dyDescent="0.3">
      <c r="A149" s="3" t="s">
        <v>255</v>
      </c>
      <c r="B149" s="3" t="s">
        <v>254</v>
      </c>
      <c r="C149" s="1" t="s">
        <v>71</v>
      </c>
      <c r="D149" s="3">
        <v>41</v>
      </c>
      <c r="E149" s="1" t="s">
        <v>5</v>
      </c>
      <c r="F149" s="1" t="s">
        <v>20</v>
      </c>
      <c r="G149" s="1" t="s">
        <v>3</v>
      </c>
      <c r="H149" s="2">
        <v>423269.09</v>
      </c>
      <c r="I149" s="2">
        <v>298294.15999999997</v>
      </c>
      <c r="J149" s="4">
        <v>44972</v>
      </c>
      <c r="K149" s="4">
        <v>45019</v>
      </c>
      <c r="L149" s="1" t="s">
        <v>18</v>
      </c>
      <c r="M149" s="1" t="s">
        <v>17</v>
      </c>
      <c r="N149" s="2">
        <v>29604.27</v>
      </c>
      <c r="O149" s="2">
        <v>68171.210000000006</v>
      </c>
      <c r="P149" s="1" t="s">
        <v>32</v>
      </c>
    </row>
    <row r="150" spans="1:16" ht="18" customHeight="1" x14ac:dyDescent="0.3">
      <c r="A150" s="7" t="s">
        <v>253</v>
      </c>
      <c r="B150" s="7" t="s">
        <v>252</v>
      </c>
      <c r="C150" s="5" t="s">
        <v>68</v>
      </c>
      <c r="D150" s="7">
        <v>49</v>
      </c>
      <c r="E150" s="5" t="s">
        <v>21</v>
      </c>
      <c r="F150" s="5" t="s">
        <v>12</v>
      </c>
      <c r="G150" s="5" t="s">
        <v>40</v>
      </c>
      <c r="H150" s="6">
        <v>451136.86</v>
      </c>
      <c r="I150" s="6">
        <v>0</v>
      </c>
      <c r="J150" s="8">
        <v>44640</v>
      </c>
      <c r="K150" s="7"/>
      <c r="L150" s="5" t="s">
        <v>10</v>
      </c>
      <c r="M150" s="5" t="s">
        <v>9</v>
      </c>
      <c r="N150" s="6">
        <v>30083.040000000001</v>
      </c>
      <c r="O150" s="6">
        <v>51812.639999999999</v>
      </c>
      <c r="P150" s="5" t="s">
        <v>0</v>
      </c>
    </row>
    <row r="151" spans="1:16" ht="18" customHeight="1" x14ac:dyDescent="0.3">
      <c r="A151" s="3" t="s">
        <v>251</v>
      </c>
      <c r="B151" s="3" t="s">
        <v>250</v>
      </c>
      <c r="C151" s="1" t="s">
        <v>65</v>
      </c>
      <c r="D151" s="3">
        <v>25</v>
      </c>
      <c r="E151" s="1" t="s">
        <v>13</v>
      </c>
      <c r="F151" s="1" t="s">
        <v>4</v>
      </c>
      <c r="G151" s="1" t="s">
        <v>34</v>
      </c>
      <c r="H151" s="2">
        <v>188866.91</v>
      </c>
      <c r="I151" s="2">
        <v>0</v>
      </c>
      <c r="J151" s="4">
        <v>44887</v>
      </c>
      <c r="K151" s="3"/>
      <c r="L151" s="1" t="s">
        <v>2</v>
      </c>
      <c r="M151" s="1" t="s">
        <v>1</v>
      </c>
      <c r="N151" s="2">
        <v>30003.65</v>
      </c>
      <c r="O151" s="2">
        <v>34858.49</v>
      </c>
      <c r="P151" s="1" t="s">
        <v>0</v>
      </c>
    </row>
    <row r="152" spans="1:16" ht="18" customHeight="1" x14ac:dyDescent="0.3">
      <c r="A152" s="7" t="s">
        <v>249</v>
      </c>
      <c r="B152" s="7" t="s">
        <v>248</v>
      </c>
      <c r="C152" s="5" t="s">
        <v>62</v>
      </c>
      <c r="D152" s="7">
        <v>30</v>
      </c>
      <c r="E152" s="5" t="s">
        <v>5</v>
      </c>
      <c r="F152" s="5" t="s">
        <v>61</v>
      </c>
      <c r="G152" s="5" t="s">
        <v>27</v>
      </c>
      <c r="H152" s="6">
        <v>412532.9</v>
      </c>
      <c r="I152" s="6">
        <v>0</v>
      </c>
      <c r="J152" s="8">
        <v>45199</v>
      </c>
      <c r="K152" s="7"/>
      <c r="L152" s="5" t="s">
        <v>26</v>
      </c>
      <c r="M152" s="5" t="s">
        <v>60</v>
      </c>
      <c r="N152" s="6">
        <v>7082.97</v>
      </c>
      <c r="O152" s="6">
        <v>58352.59</v>
      </c>
      <c r="P152" s="5" t="s">
        <v>0</v>
      </c>
    </row>
    <row r="153" spans="1:16" ht="18" customHeight="1" x14ac:dyDescent="0.3">
      <c r="A153" s="3" t="s">
        <v>247</v>
      </c>
      <c r="B153" s="3" t="s">
        <v>246</v>
      </c>
      <c r="C153" s="1" t="s">
        <v>57</v>
      </c>
      <c r="D153" s="3">
        <v>47</v>
      </c>
      <c r="E153" s="1" t="s">
        <v>21</v>
      </c>
      <c r="F153" s="1" t="s">
        <v>56</v>
      </c>
      <c r="G153" s="1" t="s">
        <v>19</v>
      </c>
      <c r="H153" s="2">
        <v>188521.72</v>
      </c>
      <c r="I153" s="2">
        <v>146619.53</v>
      </c>
      <c r="J153" s="4">
        <v>44962</v>
      </c>
      <c r="K153" s="4">
        <v>45051</v>
      </c>
      <c r="L153" s="1" t="s">
        <v>18</v>
      </c>
      <c r="M153" s="1" t="s">
        <v>55</v>
      </c>
      <c r="N153" s="2">
        <v>14131.7</v>
      </c>
      <c r="O153" s="2">
        <v>10333.99</v>
      </c>
      <c r="P153" s="1" t="s">
        <v>0</v>
      </c>
    </row>
    <row r="154" spans="1:16" ht="18" customHeight="1" x14ac:dyDescent="0.3">
      <c r="A154" s="7" t="s">
        <v>245</v>
      </c>
      <c r="B154" s="7" t="s">
        <v>244</v>
      </c>
      <c r="C154" s="5" t="s">
        <v>52</v>
      </c>
      <c r="D154" s="7">
        <v>71</v>
      </c>
      <c r="E154" s="5" t="s">
        <v>13</v>
      </c>
      <c r="F154" s="5" t="s">
        <v>51</v>
      </c>
      <c r="G154" s="5" t="s">
        <v>11</v>
      </c>
      <c r="H154" s="6">
        <v>34651.06</v>
      </c>
      <c r="I154" s="6">
        <v>0</v>
      </c>
      <c r="J154" s="8">
        <v>44859</v>
      </c>
      <c r="K154" s="7"/>
      <c r="L154" s="5" t="s">
        <v>10</v>
      </c>
      <c r="M154" s="5" t="s">
        <v>50</v>
      </c>
      <c r="N154" s="6">
        <v>36032.06</v>
      </c>
      <c r="O154" s="6">
        <v>3202.6</v>
      </c>
      <c r="P154" s="5" t="s">
        <v>0</v>
      </c>
    </row>
    <row r="155" spans="1:16" ht="18" customHeight="1" x14ac:dyDescent="0.3">
      <c r="A155" s="3" t="s">
        <v>243</v>
      </c>
      <c r="B155" s="3" t="s">
        <v>242</v>
      </c>
      <c r="C155" s="1" t="s">
        <v>47</v>
      </c>
      <c r="D155" s="3">
        <v>73</v>
      </c>
      <c r="E155" s="1" t="s">
        <v>5</v>
      </c>
      <c r="F155" s="1" t="s">
        <v>46</v>
      </c>
      <c r="G155" s="1" t="s">
        <v>3</v>
      </c>
      <c r="H155" s="2">
        <v>423317.22</v>
      </c>
      <c r="I155" s="2">
        <v>0</v>
      </c>
      <c r="J155" s="4">
        <v>44944</v>
      </c>
      <c r="K155" s="3"/>
      <c r="L155" s="1" t="s">
        <v>2</v>
      </c>
      <c r="M155" s="1" t="s">
        <v>45</v>
      </c>
      <c r="N155" s="2">
        <v>10347.14</v>
      </c>
      <c r="O155" s="2">
        <v>21335.59</v>
      </c>
      <c r="P155" s="1" t="s">
        <v>0</v>
      </c>
    </row>
    <row r="156" spans="1:16" ht="18" customHeight="1" x14ac:dyDescent="0.3">
      <c r="A156" s="7" t="s">
        <v>241</v>
      </c>
      <c r="B156" s="7" t="s">
        <v>240</v>
      </c>
      <c r="C156" s="5" t="s">
        <v>42</v>
      </c>
      <c r="D156" s="7">
        <v>27</v>
      </c>
      <c r="E156" s="5" t="s">
        <v>21</v>
      </c>
      <c r="F156" s="5" t="s">
        <v>41</v>
      </c>
      <c r="G156" s="5" t="s">
        <v>40</v>
      </c>
      <c r="H156" s="6">
        <v>432002.97</v>
      </c>
      <c r="I156" s="6">
        <v>0</v>
      </c>
      <c r="J156" s="8">
        <v>44929</v>
      </c>
      <c r="K156" s="7"/>
      <c r="L156" s="5" t="s">
        <v>26</v>
      </c>
      <c r="M156" s="5" t="s">
        <v>39</v>
      </c>
      <c r="N156" s="6">
        <v>9864.19</v>
      </c>
      <c r="O156" s="6">
        <v>45616.08</v>
      </c>
      <c r="P156" s="5" t="s">
        <v>0</v>
      </c>
    </row>
    <row r="157" spans="1:16" ht="18" customHeight="1" x14ac:dyDescent="0.3">
      <c r="A157" s="3" t="s">
        <v>239</v>
      </c>
      <c r="B157" s="3" t="s">
        <v>238</v>
      </c>
      <c r="C157" s="1" t="s">
        <v>36</v>
      </c>
      <c r="D157" s="3">
        <v>29</v>
      </c>
      <c r="E157" s="1" t="s">
        <v>13</v>
      </c>
      <c r="F157" s="1" t="s">
        <v>35</v>
      </c>
      <c r="G157" s="1" t="s">
        <v>34</v>
      </c>
      <c r="H157" s="2">
        <v>204033.79</v>
      </c>
      <c r="I157" s="2">
        <v>113071.98</v>
      </c>
      <c r="J157" s="4">
        <v>45291</v>
      </c>
      <c r="K157" s="4">
        <v>45375</v>
      </c>
      <c r="L157" s="1" t="s">
        <v>18</v>
      </c>
      <c r="M157" s="1" t="s">
        <v>33</v>
      </c>
      <c r="N157" s="2">
        <v>16654.93</v>
      </c>
      <c r="O157" s="2">
        <v>21954.27</v>
      </c>
      <c r="P157" s="1" t="s">
        <v>0</v>
      </c>
    </row>
    <row r="158" spans="1:16" ht="18" customHeight="1" x14ac:dyDescent="0.3">
      <c r="A158" s="7" t="s">
        <v>237</v>
      </c>
      <c r="B158" s="7" t="s">
        <v>236</v>
      </c>
      <c r="C158" s="5" t="s">
        <v>29</v>
      </c>
      <c r="D158" s="7">
        <v>66</v>
      </c>
      <c r="E158" s="5" t="s">
        <v>5</v>
      </c>
      <c r="F158" s="5" t="s">
        <v>28</v>
      </c>
      <c r="G158" s="5" t="s">
        <v>27</v>
      </c>
      <c r="H158" s="6">
        <v>315971.86</v>
      </c>
      <c r="I158" s="6">
        <v>0</v>
      </c>
      <c r="J158" s="8">
        <v>45212</v>
      </c>
      <c r="K158" s="7"/>
      <c r="L158" s="5" t="s">
        <v>10</v>
      </c>
      <c r="M158" s="5" t="s">
        <v>25</v>
      </c>
      <c r="N158" s="6">
        <v>24968.95</v>
      </c>
      <c r="O158" s="6">
        <v>53267.38</v>
      </c>
      <c r="P158" s="5" t="s">
        <v>0</v>
      </c>
    </row>
    <row r="159" spans="1:16" ht="18" customHeight="1" x14ac:dyDescent="0.3">
      <c r="A159" s="3" t="s">
        <v>235</v>
      </c>
      <c r="B159" s="3" t="s">
        <v>234</v>
      </c>
      <c r="C159" s="1" t="s">
        <v>22</v>
      </c>
      <c r="D159" s="3">
        <v>55</v>
      </c>
      <c r="E159" s="1" t="s">
        <v>21</v>
      </c>
      <c r="F159" s="1" t="s">
        <v>20</v>
      </c>
      <c r="G159" s="1" t="s">
        <v>19</v>
      </c>
      <c r="H159" s="2">
        <v>37345.29</v>
      </c>
      <c r="I159" s="2">
        <v>0</v>
      </c>
      <c r="J159" s="4">
        <v>45169</v>
      </c>
      <c r="K159" s="3"/>
      <c r="L159" s="1" t="s">
        <v>2</v>
      </c>
      <c r="M159" s="1" t="s">
        <v>17</v>
      </c>
      <c r="N159" s="2">
        <v>34892.559999999998</v>
      </c>
      <c r="O159" s="2">
        <v>3884.42</v>
      </c>
      <c r="P159" s="1" t="s">
        <v>0</v>
      </c>
    </row>
    <row r="160" spans="1:16" ht="18" customHeight="1" x14ac:dyDescent="0.3">
      <c r="A160" s="7" t="s">
        <v>233</v>
      </c>
      <c r="B160" s="7" t="s">
        <v>232</v>
      </c>
      <c r="C160" s="5" t="s">
        <v>14</v>
      </c>
      <c r="D160" s="7">
        <v>22</v>
      </c>
      <c r="E160" s="5" t="s">
        <v>13</v>
      </c>
      <c r="F160" s="5" t="s">
        <v>12</v>
      </c>
      <c r="G160" s="5" t="s">
        <v>11</v>
      </c>
      <c r="H160" s="6">
        <v>234840.66</v>
      </c>
      <c r="I160" s="6">
        <v>0</v>
      </c>
      <c r="J160" s="8">
        <v>45244</v>
      </c>
      <c r="K160" s="7"/>
      <c r="L160" s="5" t="s">
        <v>26</v>
      </c>
      <c r="M160" s="5" t="s">
        <v>9</v>
      </c>
      <c r="N160" s="6">
        <v>39745.629999999997</v>
      </c>
      <c r="O160" s="6">
        <v>17692.59</v>
      </c>
      <c r="P160" s="5" t="s">
        <v>0</v>
      </c>
    </row>
    <row r="161" spans="1:16" ht="18" customHeight="1" x14ac:dyDescent="0.3">
      <c r="A161" s="3" t="s">
        <v>231</v>
      </c>
      <c r="B161" s="3" t="s">
        <v>230</v>
      </c>
      <c r="C161" s="1" t="s">
        <v>6</v>
      </c>
      <c r="D161" s="3">
        <v>57</v>
      </c>
      <c r="E161" s="1" t="s">
        <v>5</v>
      </c>
      <c r="F161" s="1" t="s">
        <v>4</v>
      </c>
      <c r="G161" s="1" t="s">
        <v>3</v>
      </c>
      <c r="H161" s="2">
        <v>226191.17</v>
      </c>
      <c r="I161" s="2">
        <v>125971.79</v>
      </c>
      <c r="J161" s="4">
        <v>45259</v>
      </c>
      <c r="K161" s="4">
        <v>45332</v>
      </c>
      <c r="L161" s="1" t="s">
        <v>18</v>
      </c>
      <c r="M161" s="1" t="s">
        <v>1</v>
      </c>
      <c r="N161" s="2">
        <v>35644.31</v>
      </c>
      <c r="O161" s="2">
        <v>26739.21</v>
      </c>
      <c r="P161" s="1" t="s">
        <v>0</v>
      </c>
    </row>
    <row r="162" spans="1:16" ht="18" customHeight="1" x14ac:dyDescent="0.3">
      <c r="A162" s="7" t="s">
        <v>229</v>
      </c>
      <c r="B162" s="7" t="s">
        <v>228</v>
      </c>
      <c r="C162" s="5" t="s">
        <v>77</v>
      </c>
      <c r="D162" s="7">
        <v>26</v>
      </c>
      <c r="E162" s="5" t="s">
        <v>21</v>
      </c>
      <c r="F162" s="5" t="s">
        <v>61</v>
      </c>
      <c r="G162" s="5" t="s">
        <v>40</v>
      </c>
      <c r="H162" s="6">
        <v>138639.59</v>
      </c>
      <c r="I162" s="6">
        <v>0</v>
      </c>
      <c r="J162" s="8">
        <v>45232</v>
      </c>
      <c r="K162" s="7"/>
      <c r="L162" s="5" t="s">
        <v>10</v>
      </c>
      <c r="M162" s="5" t="s">
        <v>60</v>
      </c>
      <c r="N162" s="6">
        <v>36987.86</v>
      </c>
      <c r="O162" s="6">
        <v>19115.93</v>
      </c>
      <c r="P162" s="5" t="s">
        <v>0</v>
      </c>
    </row>
    <row r="163" spans="1:16" ht="18" customHeight="1" x14ac:dyDescent="0.3">
      <c r="A163" s="3" t="s">
        <v>227</v>
      </c>
      <c r="B163" s="3" t="s">
        <v>226</v>
      </c>
      <c r="C163" s="1" t="s">
        <v>74</v>
      </c>
      <c r="D163" s="3">
        <v>54</v>
      </c>
      <c r="E163" s="1" t="s">
        <v>13</v>
      </c>
      <c r="F163" s="1" t="s">
        <v>56</v>
      </c>
      <c r="G163" s="1" t="s">
        <v>34</v>
      </c>
      <c r="H163" s="2">
        <v>413536.03</v>
      </c>
      <c r="I163" s="2">
        <v>0</v>
      </c>
      <c r="J163" s="4">
        <v>45289</v>
      </c>
      <c r="K163" s="3"/>
      <c r="L163" s="1" t="s">
        <v>2</v>
      </c>
      <c r="M163" s="1" t="s">
        <v>55</v>
      </c>
      <c r="N163" s="2">
        <v>37742.019999999997</v>
      </c>
      <c r="O163" s="2">
        <v>58452.04</v>
      </c>
      <c r="P163" s="1" t="s">
        <v>0</v>
      </c>
    </row>
    <row r="164" spans="1:16" ht="18" customHeight="1" x14ac:dyDescent="0.3">
      <c r="A164" s="7" t="s">
        <v>225</v>
      </c>
      <c r="B164" s="7" t="s">
        <v>224</v>
      </c>
      <c r="C164" s="5" t="s">
        <v>71</v>
      </c>
      <c r="D164" s="7">
        <v>50</v>
      </c>
      <c r="E164" s="5" t="s">
        <v>5</v>
      </c>
      <c r="F164" s="5" t="s">
        <v>51</v>
      </c>
      <c r="G164" s="5" t="s">
        <v>27</v>
      </c>
      <c r="H164" s="6">
        <v>212642.59</v>
      </c>
      <c r="I164" s="6">
        <v>0</v>
      </c>
      <c r="J164" s="8">
        <v>44721</v>
      </c>
      <c r="K164" s="7"/>
      <c r="L164" s="5" t="s">
        <v>26</v>
      </c>
      <c r="M164" s="5" t="s">
        <v>50</v>
      </c>
      <c r="N164" s="6">
        <v>35178.839999999997</v>
      </c>
      <c r="O164" s="6">
        <v>20250.66</v>
      </c>
      <c r="P164" s="5" t="s">
        <v>0</v>
      </c>
    </row>
    <row r="165" spans="1:16" ht="18" customHeight="1" x14ac:dyDescent="0.3">
      <c r="A165" s="3" t="s">
        <v>223</v>
      </c>
      <c r="B165" s="3" t="s">
        <v>222</v>
      </c>
      <c r="C165" s="1" t="s">
        <v>68</v>
      </c>
      <c r="D165" s="3">
        <v>46</v>
      </c>
      <c r="E165" s="1" t="s">
        <v>21</v>
      </c>
      <c r="F165" s="1" t="s">
        <v>46</v>
      </c>
      <c r="G165" s="1" t="s">
        <v>19</v>
      </c>
      <c r="H165" s="2">
        <v>89515.14</v>
      </c>
      <c r="I165" s="2">
        <v>74131.27</v>
      </c>
      <c r="J165" s="4">
        <v>44753</v>
      </c>
      <c r="K165" s="4">
        <v>44796</v>
      </c>
      <c r="L165" s="1" t="s">
        <v>18</v>
      </c>
      <c r="M165" s="1" t="s">
        <v>45</v>
      </c>
      <c r="N165" s="2">
        <v>21717.66</v>
      </c>
      <c r="O165" s="2">
        <v>7432.48</v>
      </c>
      <c r="P165" s="1" t="s">
        <v>0</v>
      </c>
    </row>
    <row r="166" spans="1:16" ht="18" customHeight="1" x14ac:dyDescent="0.3">
      <c r="A166" s="7" t="s">
        <v>221</v>
      </c>
      <c r="B166" s="7" t="s">
        <v>220</v>
      </c>
      <c r="C166" s="5" t="s">
        <v>65</v>
      </c>
      <c r="D166" s="7">
        <v>44</v>
      </c>
      <c r="E166" s="5" t="s">
        <v>13</v>
      </c>
      <c r="F166" s="5" t="s">
        <v>41</v>
      </c>
      <c r="G166" s="5" t="s">
        <v>11</v>
      </c>
      <c r="H166" s="6">
        <v>336395.06</v>
      </c>
      <c r="I166" s="6">
        <v>0</v>
      </c>
      <c r="J166" s="8">
        <v>44903</v>
      </c>
      <c r="K166" s="7"/>
      <c r="L166" s="5" t="s">
        <v>10</v>
      </c>
      <c r="M166" s="5" t="s">
        <v>39</v>
      </c>
      <c r="N166" s="6">
        <v>35773.69</v>
      </c>
      <c r="O166" s="6">
        <v>52766.16</v>
      </c>
      <c r="P166" s="5" t="s">
        <v>0</v>
      </c>
    </row>
    <row r="167" spans="1:16" ht="18" customHeight="1" x14ac:dyDescent="0.3">
      <c r="A167" s="3" t="s">
        <v>219</v>
      </c>
      <c r="B167" s="3" t="s">
        <v>218</v>
      </c>
      <c r="C167" s="1" t="s">
        <v>62</v>
      </c>
      <c r="D167" s="3">
        <v>40</v>
      </c>
      <c r="E167" s="1" t="s">
        <v>5</v>
      </c>
      <c r="F167" s="1" t="s">
        <v>35</v>
      </c>
      <c r="G167" s="1" t="s">
        <v>3</v>
      </c>
      <c r="H167" s="2">
        <v>151894.47</v>
      </c>
      <c r="I167" s="2">
        <v>0</v>
      </c>
      <c r="J167" s="4">
        <v>44990</v>
      </c>
      <c r="K167" s="3"/>
      <c r="L167" s="1" t="s">
        <v>2</v>
      </c>
      <c r="M167" s="1" t="s">
        <v>33</v>
      </c>
      <c r="N167" s="2">
        <v>14493.84</v>
      </c>
      <c r="O167" s="2">
        <v>16317.57</v>
      </c>
      <c r="P167" s="1" t="s">
        <v>0</v>
      </c>
    </row>
    <row r="168" spans="1:16" ht="18" customHeight="1" x14ac:dyDescent="0.3">
      <c r="A168" s="7" t="s">
        <v>217</v>
      </c>
      <c r="B168" s="7" t="s">
        <v>216</v>
      </c>
      <c r="C168" s="5" t="s">
        <v>57</v>
      </c>
      <c r="D168" s="7">
        <v>62</v>
      </c>
      <c r="E168" s="5" t="s">
        <v>21</v>
      </c>
      <c r="F168" s="5" t="s">
        <v>28</v>
      </c>
      <c r="G168" s="5" t="s">
        <v>40</v>
      </c>
      <c r="H168" s="6">
        <v>488943.18</v>
      </c>
      <c r="I168" s="6">
        <v>0</v>
      </c>
      <c r="J168" s="8">
        <v>45264</v>
      </c>
      <c r="K168" s="7"/>
      <c r="L168" s="5" t="s">
        <v>26</v>
      </c>
      <c r="M168" s="5" t="s">
        <v>25</v>
      </c>
      <c r="N168" s="6">
        <v>13749.81</v>
      </c>
      <c r="O168" s="6">
        <v>62888.37</v>
      </c>
      <c r="P168" s="5" t="s">
        <v>0</v>
      </c>
    </row>
    <row r="169" spans="1:16" ht="18" customHeight="1" x14ac:dyDescent="0.3">
      <c r="A169" s="3" t="s">
        <v>215</v>
      </c>
      <c r="B169" s="3" t="s">
        <v>214</v>
      </c>
      <c r="C169" s="1" t="s">
        <v>52</v>
      </c>
      <c r="D169" s="3">
        <v>52</v>
      </c>
      <c r="E169" s="1" t="s">
        <v>13</v>
      </c>
      <c r="F169" s="1" t="s">
        <v>20</v>
      </c>
      <c r="G169" s="1" t="s">
        <v>34</v>
      </c>
      <c r="H169" s="2">
        <v>239775.05</v>
      </c>
      <c r="I169" s="2">
        <v>121420.73</v>
      </c>
      <c r="J169" s="4">
        <v>44696</v>
      </c>
      <c r="K169" s="4">
        <v>44729</v>
      </c>
      <c r="L169" s="1" t="s">
        <v>18</v>
      </c>
      <c r="M169" s="1" t="s">
        <v>17</v>
      </c>
      <c r="N169" s="2">
        <v>17375.810000000001</v>
      </c>
      <c r="O169" s="2">
        <v>21987.87</v>
      </c>
      <c r="P169" s="1" t="s">
        <v>0</v>
      </c>
    </row>
    <row r="170" spans="1:16" ht="18" customHeight="1" x14ac:dyDescent="0.3">
      <c r="A170" s="7" t="s">
        <v>213</v>
      </c>
      <c r="B170" s="7" t="s">
        <v>212</v>
      </c>
      <c r="C170" s="5" t="s">
        <v>47</v>
      </c>
      <c r="D170" s="7">
        <v>51</v>
      </c>
      <c r="E170" s="5" t="s">
        <v>5</v>
      </c>
      <c r="F170" s="5" t="s">
        <v>12</v>
      </c>
      <c r="G170" s="5" t="s">
        <v>27</v>
      </c>
      <c r="H170" s="6">
        <v>94308.25</v>
      </c>
      <c r="I170" s="6">
        <v>0</v>
      </c>
      <c r="J170" s="8">
        <v>44624</v>
      </c>
      <c r="K170" s="7"/>
      <c r="L170" s="5" t="s">
        <v>10</v>
      </c>
      <c r="M170" s="5" t="s">
        <v>9</v>
      </c>
      <c r="N170" s="6">
        <v>21982.09</v>
      </c>
      <c r="O170" s="6">
        <v>10043.17</v>
      </c>
      <c r="P170" s="5" t="s">
        <v>0</v>
      </c>
    </row>
    <row r="171" spans="1:16" ht="18" customHeight="1" x14ac:dyDescent="0.3">
      <c r="A171" s="3" t="s">
        <v>211</v>
      </c>
      <c r="B171" s="3" t="s">
        <v>210</v>
      </c>
      <c r="C171" s="1" t="s">
        <v>42</v>
      </c>
      <c r="D171" s="3">
        <v>72</v>
      </c>
      <c r="E171" s="1" t="s">
        <v>21</v>
      </c>
      <c r="F171" s="1" t="s">
        <v>4</v>
      </c>
      <c r="G171" s="1" t="s">
        <v>19</v>
      </c>
      <c r="H171" s="2">
        <v>458029.78</v>
      </c>
      <c r="I171" s="2">
        <v>0</v>
      </c>
      <c r="J171" s="4">
        <v>44807</v>
      </c>
      <c r="K171" s="3"/>
      <c r="L171" s="1" t="s">
        <v>2</v>
      </c>
      <c r="M171" s="1" t="s">
        <v>1</v>
      </c>
      <c r="N171" s="2">
        <v>32803.760000000002</v>
      </c>
      <c r="O171" s="2">
        <v>33672.089999999997</v>
      </c>
      <c r="P171" s="1" t="s">
        <v>0</v>
      </c>
    </row>
    <row r="172" spans="1:16" ht="18" customHeight="1" x14ac:dyDescent="0.3">
      <c r="A172" s="7" t="s">
        <v>209</v>
      </c>
      <c r="B172" s="7" t="s">
        <v>208</v>
      </c>
      <c r="C172" s="5" t="s">
        <v>36</v>
      </c>
      <c r="D172" s="7">
        <v>63</v>
      </c>
      <c r="E172" s="5" t="s">
        <v>13</v>
      </c>
      <c r="F172" s="5" t="s">
        <v>61</v>
      </c>
      <c r="G172" s="5" t="s">
        <v>11</v>
      </c>
      <c r="H172" s="6">
        <v>341079.31</v>
      </c>
      <c r="I172" s="6">
        <v>0</v>
      </c>
      <c r="J172" s="8">
        <v>44895</v>
      </c>
      <c r="K172" s="7"/>
      <c r="L172" s="5" t="s">
        <v>26</v>
      </c>
      <c r="M172" s="5" t="s">
        <v>60</v>
      </c>
      <c r="N172" s="6">
        <v>46017.73</v>
      </c>
      <c r="O172" s="6">
        <v>43545.25</v>
      </c>
      <c r="P172" s="5" t="s">
        <v>0</v>
      </c>
    </row>
    <row r="173" spans="1:16" ht="18" customHeight="1" x14ac:dyDescent="0.3">
      <c r="A173" s="3" t="s">
        <v>207</v>
      </c>
      <c r="B173" s="3" t="s">
        <v>206</v>
      </c>
      <c r="C173" s="1" t="s">
        <v>29</v>
      </c>
      <c r="D173" s="3">
        <v>60</v>
      </c>
      <c r="E173" s="1" t="s">
        <v>5</v>
      </c>
      <c r="F173" s="1" t="s">
        <v>56</v>
      </c>
      <c r="G173" s="1" t="s">
        <v>3</v>
      </c>
      <c r="H173" s="2">
        <v>416359.48</v>
      </c>
      <c r="I173" s="2">
        <v>286452.78000000003</v>
      </c>
      <c r="J173" s="4">
        <v>44963</v>
      </c>
      <c r="K173" s="4">
        <v>45050</v>
      </c>
      <c r="L173" s="1" t="s">
        <v>18</v>
      </c>
      <c r="M173" s="1" t="s">
        <v>55</v>
      </c>
      <c r="N173" s="2">
        <v>8381.6200000000008</v>
      </c>
      <c r="O173" s="2">
        <v>71353</v>
      </c>
      <c r="P173" s="1" t="s">
        <v>0</v>
      </c>
    </row>
    <row r="174" spans="1:16" ht="18" customHeight="1" x14ac:dyDescent="0.3">
      <c r="A174" s="7" t="s">
        <v>205</v>
      </c>
      <c r="B174" s="7" t="s">
        <v>204</v>
      </c>
      <c r="C174" s="5" t="s">
        <v>22</v>
      </c>
      <c r="D174" s="7">
        <v>44</v>
      </c>
      <c r="E174" s="5" t="s">
        <v>21</v>
      </c>
      <c r="F174" s="5" t="s">
        <v>51</v>
      </c>
      <c r="G174" s="5" t="s">
        <v>40</v>
      </c>
      <c r="H174" s="6">
        <v>461001.3</v>
      </c>
      <c r="I174" s="6">
        <v>0</v>
      </c>
      <c r="J174" s="8">
        <v>44952</v>
      </c>
      <c r="K174" s="7"/>
      <c r="L174" s="5" t="s">
        <v>10</v>
      </c>
      <c r="M174" s="5" t="s">
        <v>50</v>
      </c>
      <c r="N174" s="6">
        <v>48673.33</v>
      </c>
      <c r="O174" s="6">
        <v>72313.84</v>
      </c>
      <c r="P174" s="5" t="s">
        <v>0</v>
      </c>
    </row>
    <row r="175" spans="1:16" ht="18" customHeight="1" x14ac:dyDescent="0.3">
      <c r="A175" s="3" t="s">
        <v>203</v>
      </c>
      <c r="B175" s="3" t="s">
        <v>202</v>
      </c>
      <c r="C175" s="1" t="s">
        <v>14</v>
      </c>
      <c r="D175" s="3">
        <v>25</v>
      </c>
      <c r="E175" s="1" t="s">
        <v>13</v>
      </c>
      <c r="F175" s="1" t="s">
        <v>46</v>
      </c>
      <c r="G175" s="1" t="s">
        <v>34</v>
      </c>
      <c r="H175" s="2">
        <v>142241.06</v>
      </c>
      <c r="I175" s="2">
        <v>0</v>
      </c>
      <c r="J175" s="4">
        <v>44638</v>
      </c>
      <c r="K175" s="3"/>
      <c r="L175" s="1" t="s">
        <v>2</v>
      </c>
      <c r="M175" s="1" t="s">
        <v>45</v>
      </c>
      <c r="N175" s="2">
        <v>34455.29</v>
      </c>
      <c r="O175" s="2">
        <v>28033.71</v>
      </c>
      <c r="P175" s="1" t="s">
        <v>0</v>
      </c>
    </row>
    <row r="176" spans="1:16" ht="18" customHeight="1" x14ac:dyDescent="0.3">
      <c r="A176" s="7" t="s">
        <v>201</v>
      </c>
      <c r="B176" s="7" t="s">
        <v>200</v>
      </c>
      <c r="C176" s="5" t="s">
        <v>6</v>
      </c>
      <c r="D176" s="7">
        <v>25</v>
      </c>
      <c r="E176" s="5" t="s">
        <v>5</v>
      </c>
      <c r="F176" s="5" t="s">
        <v>41</v>
      </c>
      <c r="G176" s="5" t="s">
        <v>27</v>
      </c>
      <c r="H176" s="6">
        <v>62801.36</v>
      </c>
      <c r="I176" s="6">
        <v>0</v>
      </c>
      <c r="J176" s="8">
        <v>44734</v>
      </c>
      <c r="K176" s="7"/>
      <c r="L176" s="5" t="s">
        <v>26</v>
      </c>
      <c r="M176" s="5" t="s">
        <v>39</v>
      </c>
      <c r="N176" s="6">
        <v>36485.97</v>
      </c>
      <c r="O176" s="6">
        <v>7355.21</v>
      </c>
      <c r="P176" s="5" t="s">
        <v>0</v>
      </c>
    </row>
    <row r="177" spans="1:16" ht="18" customHeight="1" x14ac:dyDescent="0.3">
      <c r="A177" s="3" t="s">
        <v>199</v>
      </c>
      <c r="B177" s="3" t="s">
        <v>198</v>
      </c>
      <c r="C177" s="1" t="s">
        <v>77</v>
      </c>
      <c r="D177" s="3">
        <v>71</v>
      </c>
      <c r="E177" s="1" t="s">
        <v>21</v>
      </c>
      <c r="F177" s="1" t="s">
        <v>35</v>
      </c>
      <c r="G177" s="1" t="s">
        <v>19</v>
      </c>
      <c r="H177" s="2">
        <v>265605.19</v>
      </c>
      <c r="I177" s="2">
        <v>199707.7</v>
      </c>
      <c r="J177" s="4">
        <v>44609</v>
      </c>
      <c r="K177" s="4">
        <v>44629</v>
      </c>
      <c r="L177" s="1" t="s">
        <v>18</v>
      </c>
      <c r="M177" s="1" t="s">
        <v>33</v>
      </c>
      <c r="N177" s="2">
        <v>5955.38</v>
      </c>
      <c r="O177" s="2">
        <v>23509.86</v>
      </c>
      <c r="P177" s="1" t="s">
        <v>0</v>
      </c>
    </row>
    <row r="178" spans="1:16" ht="18" customHeight="1" x14ac:dyDescent="0.3">
      <c r="A178" s="7" t="s">
        <v>197</v>
      </c>
      <c r="B178" s="7" t="s">
        <v>196</v>
      </c>
      <c r="C178" s="5" t="s">
        <v>74</v>
      </c>
      <c r="D178" s="7">
        <v>23</v>
      </c>
      <c r="E178" s="5" t="s">
        <v>13</v>
      </c>
      <c r="F178" s="5" t="s">
        <v>28</v>
      </c>
      <c r="G178" s="5" t="s">
        <v>11</v>
      </c>
      <c r="H178" s="6">
        <v>453771.57</v>
      </c>
      <c r="I178" s="6">
        <v>0</v>
      </c>
      <c r="J178" s="8">
        <v>45259</v>
      </c>
      <c r="K178" s="7"/>
      <c r="L178" s="5" t="s">
        <v>10</v>
      </c>
      <c r="M178" s="5" t="s">
        <v>25</v>
      </c>
      <c r="N178" s="6">
        <v>13116.51</v>
      </c>
      <c r="O178" s="6">
        <v>58760.62</v>
      </c>
      <c r="P178" s="5" t="s">
        <v>0</v>
      </c>
    </row>
    <row r="179" spans="1:16" ht="18" customHeight="1" x14ac:dyDescent="0.3">
      <c r="A179" s="3" t="s">
        <v>195</v>
      </c>
      <c r="B179" s="3" t="s">
        <v>194</v>
      </c>
      <c r="C179" s="1" t="s">
        <v>71</v>
      </c>
      <c r="D179" s="3">
        <v>30</v>
      </c>
      <c r="E179" s="1" t="s">
        <v>5</v>
      </c>
      <c r="F179" s="1" t="s">
        <v>20</v>
      </c>
      <c r="G179" s="1" t="s">
        <v>3</v>
      </c>
      <c r="H179" s="2">
        <v>362149.84</v>
      </c>
      <c r="I179" s="2">
        <v>0</v>
      </c>
      <c r="J179" s="4">
        <v>44880</v>
      </c>
      <c r="K179" s="3"/>
      <c r="L179" s="1" t="s">
        <v>2</v>
      </c>
      <c r="M179" s="1" t="s">
        <v>17</v>
      </c>
      <c r="N179" s="2">
        <v>16507.82</v>
      </c>
      <c r="O179" s="2">
        <v>31495.81</v>
      </c>
      <c r="P179" s="1" t="s">
        <v>0</v>
      </c>
    </row>
    <row r="180" spans="1:16" ht="18" customHeight="1" x14ac:dyDescent="0.3">
      <c r="A180" s="7" t="s">
        <v>193</v>
      </c>
      <c r="B180" s="7" t="s">
        <v>192</v>
      </c>
      <c r="C180" s="5" t="s">
        <v>68</v>
      </c>
      <c r="D180" s="7">
        <v>45</v>
      </c>
      <c r="E180" s="5" t="s">
        <v>21</v>
      </c>
      <c r="F180" s="5" t="s">
        <v>12</v>
      </c>
      <c r="G180" s="5" t="s">
        <v>40</v>
      </c>
      <c r="H180" s="6">
        <v>117760.44</v>
      </c>
      <c r="I180" s="6">
        <v>0</v>
      </c>
      <c r="J180" s="8">
        <v>44636</v>
      </c>
      <c r="K180" s="7"/>
      <c r="L180" s="5" t="s">
        <v>26</v>
      </c>
      <c r="M180" s="5" t="s">
        <v>9</v>
      </c>
      <c r="N180" s="6">
        <v>32849.26</v>
      </c>
      <c r="O180" s="6">
        <v>6801.09</v>
      </c>
      <c r="P180" s="5" t="s">
        <v>0</v>
      </c>
    </row>
    <row r="181" spans="1:16" ht="18" customHeight="1" x14ac:dyDescent="0.3">
      <c r="A181" s="3" t="s">
        <v>191</v>
      </c>
      <c r="B181" s="3" t="s">
        <v>190</v>
      </c>
      <c r="C181" s="1" t="s">
        <v>65</v>
      </c>
      <c r="D181" s="3">
        <v>32</v>
      </c>
      <c r="E181" s="1" t="s">
        <v>13</v>
      </c>
      <c r="F181" s="1" t="s">
        <v>4</v>
      </c>
      <c r="G181" s="1" t="s">
        <v>34</v>
      </c>
      <c r="H181" s="2">
        <v>428276.67</v>
      </c>
      <c r="I181" s="2">
        <v>253054.43</v>
      </c>
      <c r="J181" s="4">
        <v>45141</v>
      </c>
      <c r="K181" s="4">
        <v>45174</v>
      </c>
      <c r="L181" s="1" t="s">
        <v>18</v>
      </c>
      <c r="M181" s="1" t="s">
        <v>1</v>
      </c>
      <c r="N181" s="2">
        <v>49260.05</v>
      </c>
      <c r="O181" s="2">
        <v>51197.38</v>
      </c>
      <c r="P181" s="1" t="s">
        <v>0</v>
      </c>
    </row>
    <row r="182" spans="1:16" ht="18" customHeight="1" x14ac:dyDescent="0.3">
      <c r="A182" s="7" t="s">
        <v>189</v>
      </c>
      <c r="B182" s="7" t="s">
        <v>188</v>
      </c>
      <c r="C182" s="5" t="s">
        <v>62</v>
      </c>
      <c r="D182" s="7">
        <v>59</v>
      </c>
      <c r="E182" s="5" t="s">
        <v>5</v>
      </c>
      <c r="F182" s="5" t="s">
        <v>61</v>
      </c>
      <c r="G182" s="5" t="s">
        <v>27</v>
      </c>
      <c r="H182" s="6">
        <v>45509.45</v>
      </c>
      <c r="I182" s="6">
        <v>0</v>
      </c>
      <c r="J182" s="8">
        <v>44672</v>
      </c>
      <c r="K182" s="7"/>
      <c r="L182" s="5" t="s">
        <v>10</v>
      </c>
      <c r="M182" s="5" t="s">
        <v>60</v>
      </c>
      <c r="N182" s="6">
        <v>49600.92</v>
      </c>
      <c r="O182" s="6">
        <v>7736.3</v>
      </c>
      <c r="P182" s="5" t="s">
        <v>0</v>
      </c>
    </row>
    <row r="183" spans="1:16" ht="18" customHeight="1" x14ac:dyDescent="0.3">
      <c r="A183" s="3" t="s">
        <v>187</v>
      </c>
      <c r="B183" s="3" t="s">
        <v>186</v>
      </c>
      <c r="C183" s="1" t="s">
        <v>57</v>
      </c>
      <c r="D183" s="3">
        <v>28</v>
      </c>
      <c r="E183" s="1" t="s">
        <v>21</v>
      </c>
      <c r="F183" s="1" t="s">
        <v>56</v>
      </c>
      <c r="G183" s="1" t="s">
        <v>19</v>
      </c>
      <c r="H183" s="2">
        <v>344670.14</v>
      </c>
      <c r="I183" s="2">
        <v>0</v>
      </c>
      <c r="J183" s="4">
        <v>44625</v>
      </c>
      <c r="K183" s="3"/>
      <c r="L183" s="1" t="s">
        <v>2</v>
      </c>
      <c r="M183" s="1" t="s">
        <v>55</v>
      </c>
      <c r="N183" s="2">
        <v>21567.27</v>
      </c>
      <c r="O183" s="2">
        <v>55145.5</v>
      </c>
      <c r="P183" s="1" t="s">
        <v>32</v>
      </c>
    </row>
    <row r="184" spans="1:16" ht="18" customHeight="1" x14ac:dyDescent="0.3">
      <c r="A184" s="7" t="s">
        <v>185</v>
      </c>
      <c r="B184" s="7" t="s">
        <v>184</v>
      </c>
      <c r="C184" s="5" t="s">
        <v>52</v>
      </c>
      <c r="D184" s="7">
        <v>31</v>
      </c>
      <c r="E184" s="5" t="s">
        <v>13</v>
      </c>
      <c r="F184" s="5" t="s">
        <v>51</v>
      </c>
      <c r="G184" s="5" t="s">
        <v>11</v>
      </c>
      <c r="H184" s="6">
        <v>338299.71</v>
      </c>
      <c r="I184" s="6">
        <v>0</v>
      </c>
      <c r="J184" s="8">
        <v>44754</v>
      </c>
      <c r="K184" s="7"/>
      <c r="L184" s="5" t="s">
        <v>26</v>
      </c>
      <c r="M184" s="5" t="s">
        <v>50</v>
      </c>
      <c r="N184" s="6">
        <v>24166.46</v>
      </c>
      <c r="O184" s="6">
        <v>36563.49</v>
      </c>
      <c r="P184" s="5" t="s">
        <v>0</v>
      </c>
    </row>
    <row r="185" spans="1:16" ht="18" customHeight="1" x14ac:dyDescent="0.3">
      <c r="A185" s="3" t="s">
        <v>183</v>
      </c>
      <c r="B185" s="3" t="s">
        <v>182</v>
      </c>
      <c r="C185" s="1" t="s">
        <v>47</v>
      </c>
      <c r="D185" s="3">
        <v>52</v>
      </c>
      <c r="E185" s="1" t="s">
        <v>5</v>
      </c>
      <c r="F185" s="1" t="s">
        <v>46</v>
      </c>
      <c r="G185" s="1" t="s">
        <v>3</v>
      </c>
      <c r="H185" s="2">
        <v>235327.79</v>
      </c>
      <c r="I185" s="2">
        <v>196820.79</v>
      </c>
      <c r="J185" s="4">
        <v>45098</v>
      </c>
      <c r="K185" s="4">
        <v>45134</v>
      </c>
      <c r="L185" s="1" t="s">
        <v>18</v>
      </c>
      <c r="M185" s="1" t="s">
        <v>45</v>
      </c>
      <c r="N185" s="2">
        <v>35033.440000000002</v>
      </c>
      <c r="O185" s="2">
        <v>22596.26</v>
      </c>
      <c r="P185" s="1" t="s">
        <v>0</v>
      </c>
    </row>
    <row r="186" spans="1:16" ht="18" customHeight="1" x14ac:dyDescent="0.3">
      <c r="A186" s="7" t="s">
        <v>181</v>
      </c>
      <c r="B186" s="7" t="s">
        <v>180</v>
      </c>
      <c r="C186" s="5" t="s">
        <v>42</v>
      </c>
      <c r="D186" s="7">
        <v>68</v>
      </c>
      <c r="E186" s="5" t="s">
        <v>21</v>
      </c>
      <c r="F186" s="5" t="s">
        <v>41</v>
      </c>
      <c r="G186" s="5" t="s">
        <v>40</v>
      </c>
      <c r="H186" s="6">
        <v>150852.75</v>
      </c>
      <c r="I186" s="6">
        <v>0</v>
      </c>
      <c r="J186" s="8">
        <v>45175</v>
      </c>
      <c r="K186" s="7"/>
      <c r="L186" s="5" t="s">
        <v>10</v>
      </c>
      <c r="M186" s="5" t="s">
        <v>39</v>
      </c>
      <c r="N186" s="6">
        <v>38895.69</v>
      </c>
      <c r="O186" s="6">
        <v>14247.12</v>
      </c>
      <c r="P186" s="5" t="s">
        <v>0</v>
      </c>
    </row>
    <row r="187" spans="1:16" ht="18" customHeight="1" x14ac:dyDescent="0.3">
      <c r="A187" s="3" t="s">
        <v>179</v>
      </c>
      <c r="B187" s="3" t="s">
        <v>178</v>
      </c>
      <c r="C187" s="1" t="s">
        <v>36</v>
      </c>
      <c r="D187" s="3">
        <v>44</v>
      </c>
      <c r="E187" s="1" t="s">
        <v>13</v>
      </c>
      <c r="F187" s="1" t="s">
        <v>35</v>
      </c>
      <c r="G187" s="1" t="s">
        <v>34</v>
      </c>
      <c r="H187" s="2">
        <v>480086.38</v>
      </c>
      <c r="I187" s="2">
        <v>0</v>
      </c>
      <c r="J187" s="4">
        <v>44942</v>
      </c>
      <c r="K187" s="3"/>
      <c r="L187" s="1" t="s">
        <v>2</v>
      </c>
      <c r="M187" s="1" t="s">
        <v>33</v>
      </c>
      <c r="N187" s="2">
        <v>16043.47</v>
      </c>
      <c r="O187" s="2">
        <v>31889.05</v>
      </c>
      <c r="P187" s="1" t="s">
        <v>0</v>
      </c>
    </row>
    <row r="188" spans="1:16" ht="18" customHeight="1" x14ac:dyDescent="0.3">
      <c r="A188" s="7" t="s">
        <v>177</v>
      </c>
      <c r="B188" s="7" t="s">
        <v>176</v>
      </c>
      <c r="C188" s="5" t="s">
        <v>29</v>
      </c>
      <c r="D188" s="7">
        <v>22</v>
      </c>
      <c r="E188" s="5" t="s">
        <v>5</v>
      </c>
      <c r="F188" s="5" t="s">
        <v>28</v>
      </c>
      <c r="G188" s="5" t="s">
        <v>27</v>
      </c>
      <c r="H188" s="6">
        <v>177806.49</v>
      </c>
      <c r="I188" s="6">
        <v>0</v>
      </c>
      <c r="J188" s="8">
        <v>44685</v>
      </c>
      <c r="K188" s="7"/>
      <c r="L188" s="5" t="s">
        <v>26</v>
      </c>
      <c r="M188" s="5" t="s">
        <v>25</v>
      </c>
      <c r="N188" s="6">
        <v>34132.99</v>
      </c>
      <c r="O188" s="6">
        <v>15728.95</v>
      </c>
      <c r="P188" s="5" t="s">
        <v>32</v>
      </c>
    </row>
    <row r="189" spans="1:16" ht="18" customHeight="1" x14ac:dyDescent="0.3">
      <c r="A189" s="3" t="s">
        <v>175</v>
      </c>
      <c r="B189" s="3" t="s">
        <v>174</v>
      </c>
      <c r="C189" s="1" t="s">
        <v>22</v>
      </c>
      <c r="D189" s="3">
        <v>27</v>
      </c>
      <c r="E189" s="1" t="s">
        <v>21</v>
      </c>
      <c r="F189" s="1" t="s">
        <v>20</v>
      </c>
      <c r="G189" s="1" t="s">
        <v>19</v>
      </c>
      <c r="H189" s="2">
        <v>277040.73</v>
      </c>
      <c r="I189" s="2">
        <v>199125.85</v>
      </c>
      <c r="J189" s="4">
        <v>45066</v>
      </c>
      <c r="K189" s="4">
        <v>45118</v>
      </c>
      <c r="L189" s="1" t="s">
        <v>18</v>
      </c>
      <c r="M189" s="1" t="s">
        <v>17</v>
      </c>
      <c r="N189" s="2">
        <v>31889.41</v>
      </c>
      <c r="O189" s="2">
        <v>18120.68</v>
      </c>
      <c r="P189" s="1" t="s">
        <v>0</v>
      </c>
    </row>
    <row r="190" spans="1:16" ht="18" customHeight="1" x14ac:dyDescent="0.3">
      <c r="A190" s="7" t="s">
        <v>173</v>
      </c>
      <c r="B190" s="7" t="s">
        <v>172</v>
      </c>
      <c r="C190" s="5" t="s">
        <v>14</v>
      </c>
      <c r="D190" s="7">
        <v>48</v>
      </c>
      <c r="E190" s="5" t="s">
        <v>13</v>
      </c>
      <c r="F190" s="5" t="s">
        <v>12</v>
      </c>
      <c r="G190" s="5" t="s">
        <v>11</v>
      </c>
      <c r="H190" s="6">
        <v>301827.73</v>
      </c>
      <c r="I190" s="6">
        <v>0</v>
      </c>
      <c r="J190" s="8">
        <v>45064</v>
      </c>
      <c r="K190" s="7"/>
      <c r="L190" s="5" t="s">
        <v>10</v>
      </c>
      <c r="M190" s="5" t="s">
        <v>9</v>
      </c>
      <c r="N190" s="6">
        <v>46434</v>
      </c>
      <c r="O190" s="6">
        <v>48792.74</v>
      </c>
      <c r="P190" s="5" t="s">
        <v>32</v>
      </c>
    </row>
    <row r="191" spans="1:16" ht="18" customHeight="1" x14ac:dyDescent="0.3">
      <c r="A191" s="3" t="s">
        <v>171</v>
      </c>
      <c r="B191" s="3" t="s">
        <v>170</v>
      </c>
      <c r="C191" s="1" t="s">
        <v>6</v>
      </c>
      <c r="D191" s="3">
        <v>67</v>
      </c>
      <c r="E191" s="1" t="s">
        <v>5</v>
      </c>
      <c r="F191" s="1" t="s">
        <v>4</v>
      </c>
      <c r="G191" s="1" t="s">
        <v>3</v>
      </c>
      <c r="H191" s="2">
        <v>147360.95999999999</v>
      </c>
      <c r="I191" s="2">
        <v>0</v>
      </c>
      <c r="J191" s="4">
        <v>45155</v>
      </c>
      <c r="K191" s="3"/>
      <c r="L191" s="1" t="s">
        <v>2</v>
      </c>
      <c r="M191" s="1" t="s">
        <v>1</v>
      </c>
      <c r="N191" s="2">
        <v>7115.28</v>
      </c>
      <c r="O191" s="2">
        <v>9622.2999999999993</v>
      </c>
      <c r="P191" s="1" t="s">
        <v>0</v>
      </c>
    </row>
    <row r="192" spans="1:16" ht="18" customHeight="1" x14ac:dyDescent="0.3">
      <c r="A192" s="7" t="s">
        <v>169</v>
      </c>
      <c r="B192" s="7" t="s">
        <v>168</v>
      </c>
      <c r="C192" s="5" t="s">
        <v>77</v>
      </c>
      <c r="D192" s="7">
        <v>52</v>
      </c>
      <c r="E192" s="5" t="s">
        <v>21</v>
      </c>
      <c r="F192" s="5" t="s">
        <v>61</v>
      </c>
      <c r="G192" s="5" t="s">
        <v>40</v>
      </c>
      <c r="H192" s="6">
        <v>83079.27</v>
      </c>
      <c r="I192" s="6">
        <v>0</v>
      </c>
      <c r="J192" s="8">
        <v>44959</v>
      </c>
      <c r="K192" s="7"/>
      <c r="L192" s="5" t="s">
        <v>26</v>
      </c>
      <c r="M192" s="5" t="s">
        <v>60</v>
      </c>
      <c r="N192" s="6">
        <v>29933.78</v>
      </c>
      <c r="O192" s="6">
        <v>9501.84</v>
      </c>
      <c r="P192" s="5" t="s">
        <v>0</v>
      </c>
    </row>
    <row r="193" spans="1:16" ht="18" customHeight="1" x14ac:dyDescent="0.3">
      <c r="A193" s="3" t="s">
        <v>167</v>
      </c>
      <c r="B193" s="3" t="s">
        <v>166</v>
      </c>
      <c r="C193" s="1" t="s">
        <v>74</v>
      </c>
      <c r="D193" s="3">
        <v>30</v>
      </c>
      <c r="E193" s="1" t="s">
        <v>13</v>
      </c>
      <c r="F193" s="1" t="s">
        <v>56</v>
      </c>
      <c r="G193" s="1" t="s">
        <v>34</v>
      </c>
      <c r="H193" s="2">
        <v>342154.14</v>
      </c>
      <c r="I193" s="2">
        <v>291509.96000000002</v>
      </c>
      <c r="J193" s="4">
        <v>45239</v>
      </c>
      <c r="K193" s="4">
        <v>45335</v>
      </c>
      <c r="L193" s="1" t="s">
        <v>18</v>
      </c>
      <c r="M193" s="1" t="s">
        <v>55</v>
      </c>
      <c r="N193" s="2">
        <v>49259.91</v>
      </c>
      <c r="O193" s="2">
        <v>65645.86</v>
      </c>
      <c r="P193" s="1" t="s">
        <v>0</v>
      </c>
    </row>
    <row r="194" spans="1:16" ht="18" customHeight="1" x14ac:dyDescent="0.3">
      <c r="A194" s="7" t="s">
        <v>165</v>
      </c>
      <c r="B194" s="7" t="s">
        <v>164</v>
      </c>
      <c r="C194" s="5" t="s">
        <v>71</v>
      </c>
      <c r="D194" s="7">
        <v>74</v>
      </c>
      <c r="E194" s="5" t="s">
        <v>5</v>
      </c>
      <c r="F194" s="5" t="s">
        <v>51</v>
      </c>
      <c r="G194" s="5" t="s">
        <v>27</v>
      </c>
      <c r="H194" s="6">
        <v>58248.33</v>
      </c>
      <c r="I194" s="6">
        <v>0</v>
      </c>
      <c r="J194" s="8">
        <v>44592</v>
      </c>
      <c r="K194" s="7"/>
      <c r="L194" s="5" t="s">
        <v>10</v>
      </c>
      <c r="M194" s="5" t="s">
        <v>50</v>
      </c>
      <c r="N194" s="6">
        <v>34591.86</v>
      </c>
      <c r="O194" s="6">
        <v>11288.01</v>
      </c>
      <c r="P194" s="5" t="s">
        <v>0</v>
      </c>
    </row>
    <row r="195" spans="1:16" ht="18" customHeight="1" x14ac:dyDescent="0.3">
      <c r="A195" s="3" t="s">
        <v>163</v>
      </c>
      <c r="B195" s="3" t="s">
        <v>162</v>
      </c>
      <c r="C195" s="1" t="s">
        <v>68</v>
      </c>
      <c r="D195" s="3">
        <v>56</v>
      </c>
      <c r="E195" s="1" t="s">
        <v>21</v>
      </c>
      <c r="F195" s="1" t="s">
        <v>46</v>
      </c>
      <c r="G195" s="1" t="s">
        <v>19</v>
      </c>
      <c r="H195" s="2">
        <v>175101.77</v>
      </c>
      <c r="I195" s="2">
        <v>0</v>
      </c>
      <c r="J195" s="4">
        <v>44711</v>
      </c>
      <c r="K195" s="3"/>
      <c r="L195" s="1" t="s">
        <v>2</v>
      </c>
      <c r="M195" s="1" t="s">
        <v>45</v>
      </c>
      <c r="N195" s="2">
        <v>23215.61</v>
      </c>
      <c r="O195" s="2">
        <v>19915.62</v>
      </c>
      <c r="P195" s="1" t="s">
        <v>0</v>
      </c>
    </row>
    <row r="196" spans="1:16" ht="18" customHeight="1" x14ac:dyDescent="0.3">
      <c r="A196" s="7" t="s">
        <v>161</v>
      </c>
      <c r="B196" s="7" t="s">
        <v>160</v>
      </c>
      <c r="C196" s="5" t="s">
        <v>65</v>
      </c>
      <c r="D196" s="7">
        <v>32</v>
      </c>
      <c r="E196" s="5" t="s">
        <v>13</v>
      </c>
      <c r="F196" s="5" t="s">
        <v>41</v>
      </c>
      <c r="G196" s="5" t="s">
        <v>11</v>
      </c>
      <c r="H196" s="6">
        <v>22844.05</v>
      </c>
      <c r="I196" s="6">
        <v>0</v>
      </c>
      <c r="J196" s="8">
        <v>44755</v>
      </c>
      <c r="K196" s="7"/>
      <c r="L196" s="5" t="s">
        <v>26</v>
      </c>
      <c r="M196" s="5" t="s">
        <v>39</v>
      </c>
      <c r="N196" s="6">
        <v>33468.239999999998</v>
      </c>
      <c r="O196" s="6">
        <v>3017.05</v>
      </c>
      <c r="P196" s="5" t="s">
        <v>0</v>
      </c>
    </row>
    <row r="197" spans="1:16" ht="18" customHeight="1" x14ac:dyDescent="0.3">
      <c r="A197" s="3" t="s">
        <v>159</v>
      </c>
      <c r="B197" s="3" t="s">
        <v>158</v>
      </c>
      <c r="C197" s="1" t="s">
        <v>62</v>
      </c>
      <c r="D197" s="3">
        <v>74</v>
      </c>
      <c r="E197" s="1" t="s">
        <v>5</v>
      </c>
      <c r="F197" s="1" t="s">
        <v>35</v>
      </c>
      <c r="G197" s="1" t="s">
        <v>3</v>
      </c>
      <c r="H197" s="2">
        <v>153092.04</v>
      </c>
      <c r="I197" s="2">
        <v>90941.87</v>
      </c>
      <c r="J197" s="4">
        <v>44877</v>
      </c>
      <c r="K197" s="4">
        <v>44930</v>
      </c>
      <c r="L197" s="1" t="s">
        <v>18</v>
      </c>
      <c r="M197" s="1" t="s">
        <v>33</v>
      </c>
      <c r="N197" s="2">
        <v>30137.26</v>
      </c>
      <c r="O197" s="2">
        <v>19883.91</v>
      </c>
      <c r="P197" s="1" t="s">
        <v>0</v>
      </c>
    </row>
    <row r="198" spans="1:16" ht="18" customHeight="1" x14ac:dyDescent="0.3">
      <c r="A198" s="7" t="s">
        <v>157</v>
      </c>
      <c r="B198" s="7" t="s">
        <v>156</v>
      </c>
      <c r="C198" s="5" t="s">
        <v>57</v>
      </c>
      <c r="D198" s="7">
        <v>52</v>
      </c>
      <c r="E198" s="5" t="s">
        <v>21</v>
      </c>
      <c r="F198" s="5" t="s">
        <v>28</v>
      </c>
      <c r="G198" s="5" t="s">
        <v>40</v>
      </c>
      <c r="H198" s="6">
        <v>404014.3</v>
      </c>
      <c r="I198" s="6">
        <v>0</v>
      </c>
      <c r="J198" s="8">
        <v>44567</v>
      </c>
      <c r="K198" s="7"/>
      <c r="L198" s="5" t="s">
        <v>10</v>
      </c>
      <c r="M198" s="5" t="s">
        <v>25</v>
      </c>
      <c r="N198" s="6">
        <v>14470.27</v>
      </c>
      <c r="O198" s="6">
        <v>73037.149999999994</v>
      </c>
      <c r="P198" s="5" t="s">
        <v>0</v>
      </c>
    </row>
    <row r="199" spans="1:16" ht="18" customHeight="1" x14ac:dyDescent="0.3">
      <c r="A199" s="3" t="s">
        <v>155</v>
      </c>
      <c r="B199" s="3" t="s">
        <v>154</v>
      </c>
      <c r="C199" s="1" t="s">
        <v>52</v>
      </c>
      <c r="D199" s="3">
        <v>45</v>
      </c>
      <c r="E199" s="1" t="s">
        <v>13</v>
      </c>
      <c r="F199" s="1" t="s">
        <v>20</v>
      </c>
      <c r="G199" s="1" t="s">
        <v>34</v>
      </c>
      <c r="H199" s="2">
        <v>40017.839999999997</v>
      </c>
      <c r="I199" s="2">
        <v>0</v>
      </c>
      <c r="J199" s="4">
        <v>45258</v>
      </c>
      <c r="K199" s="3"/>
      <c r="L199" s="1" t="s">
        <v>2</v>
      </c>
      <c r="M199" s="1" t="s">
        <v>17</v>
      </c>
      <c r="N199" s="2">
        <v>8879.09</v>
      </c>
      <c r="O199" s="2">
        <v>7436.47</v>
      </c>
      <c r="P199" s="1" t="s">
        <v>0</v>
      </c>
    </row>
    <row r="200" spans="1:16" ht="18" customHeight="1" x14ac:dyDescent="0.3">
      <c r="A200" s="7" t="s">
        <v>153</v>
      </c>
      <c r="B200" s="7" t="s">
        <v>152</v>
      </c>
      <c r="C200" s="5" t="s">
        <v>47</v>
      </c>
      <c r="D200" s="7">
        <v>29</v>
      </c>
      <c r="E200" s="5" t="s">
        <v>5</v>
      </c>
      <c r="F200" s="5" t="s">
        <v>12</v>
      </c>
      <c r="G200" s="5" t="s">
        <v>27</v>
      </c>
      <c r="H200" s="6">
        <v>283409.8</v>
      </c>
      <c r="I200" s="6">
        <v>0</v>
      </c>
      <c r="J200" s="8">
        <v>44615</v>
      </c>
      <c r="K200" s="7"/>
      <c r="L200" s="5" t="s">
        <v>26</v>
      </c>
      <c r="M200" s="5" t="s">
        <v>9</v>
      </c>
      <c r="N200" s="6">
        <v>29951.77</v>
      </c>
      <c r="O200" s="6">
        <v>36957.65</v>
      </c>
      <c r="P200" s="5" t="s">
        <v>0</v>
      </c>
    </row>
    <row r="201" spans="1:16" ht="18" customHeight="1" x14ac:dyDescent="0.3">
      <c r="A201" s="3" t="s">
        <v>151</v>
      </c>
      <c r="B201" s="3" t="s">
        <v>150</v>
      </c>
      <c r="C201" s="1" t="s">
        <v>42</v>
      </c>
      <c r="D201" s="3">
        <v>72</v>
      </c>
      <c r="E201" s="1" t="s">
        <v>21</v>
      </c>
      <c r="F201" s="1" t="s">
        <v>4</v>
      </c>
      <c r="G201" s="1" t="s">
        <v>19</v>
      </c>
      <c r="H201" s="2">
        <v>199017.3</v>
      </c>
      <c r="I201" s="2">
        <v>164411.79999999999</v>
      </c>
      <c r="J201" s="4">
        <v>45052</v>
      </c>
      <c r="K201" s="4">
        <v>45072</v>
      </c>
      <c r="L201" s="1" t="s">
        <v>18</v>
      </c>
      <c r="M201" s="1" t="s">
        <v>1</v>
      </c>
      <c r="N201" s="2">
        <v>16492.03</v>
      </c>
      <c r="O201" s="2">
        <v>15603.89</v>
      </c>
      <c r="P201" s="1" t="s">
        <v>32</v>
      </c>
    </row>
    <row r="202" spans="1:16" ht="18" customHeight="1" x14ac:dyDescent="0.3">
      <c r="A202" s="7" t="s">
        <v>149</v>
      </c>
      <c r="B202" s="7" t="s">
        <v>148</v>
      </c>
      <c r="C202" s="5" t="s">
        <v>36</v>
      </c>
      <c r="D202" s="7">
        <v>35</v>
      </c>
      <c r="E202" s="5" t="s">
        <v>13</v>
      </c>
      <c r="F202" s="5" t="s">
        <v>61</v>
      </c>
      <c r="G202" s="5" t="s">
        <v>11</v>
      </c>
      <c r="H202" s="6">
        <v>493105.78</v>
      </c>
      <c r="I202" s="6">
        <v>0</v>
      </c>
      <c r="J202" s="8">
        <v>44638</v>
      </c>
      <c r="K202" s="7"/>
      <c r="L202" s="5" t="s">
        <v>10</v>
      </c>
      <c r="M202" s="5" t="s">
        <v>60</v>
      </c>
      <c r="N202" s="6">
        <v>10513.95</v>
      </c>
      <c r="O202" s="6">
        <v>70448.679999999993</v>
      </c>
      <c r="P202" s="5" t="s">
        <v>0</v>
      </c>
    </row>
    <row r="203" spans="1:16" ht="18" customHeight="1" x14ac:dyDescent="0.3">
      <c r="A203" s="3" t="s">
        <v>147</v>
      </c>
      <c r="B203" s="3" t="s">
        <v>146</v>
      </c>
      <c r="C203" s="1" t="s">
        <v>29</v>
      </c>
      <c r="D203" s="3">
        <v>72</v>
      </c>
      <c r="E203" s="1" t="s">
        <v>5</v>
      </c>
      <c r="F203" s="1" t="s">
        <v>56</v>
      </c>
      <c r="G203" s="1" t="s">
        <v>3</v>
      </c>
      <c r="H203" s="2">
        <v>238040.04</v>
      </c>
      <c r="I203" s="2">
        <v>0</v>
      </c>
      <c r="J203" s="4">
        <v>44757</v>
      </c>
      <c r="K203" s="3"/>
      <c r="L203" s="1" t="s">
        <v>2</v>
      </c>
      <c r="M203" s="1" t="s">
        <v>55</v>
      </c>
      <c r="N203" s="2">
        <v>3593.94</v>
      </c>
      <c r="O203" s="2">
        <v>19714.990000000002</v>
      </c>
      <c r="P203" s="1" t="s">
        <v>0</v>
      </c>
    </row>
    <row r="204" spans="1:16" ht="18" customHeight="1" x14ac:dyDescent="0.3">
      <c r="A204" s="7" t="s">
        <v>145</v>
      </c>
      <c r="B204" s="7" t="s">
        <v>144</v>
      </c>
      <c r="C204" s="5" t="s">
        <v>22</v>
      </c>
      <c r="D204" s="7">
        <v>55</v>
      </c>
      <c r="E204" s="5" t="s">
        <v>21</v>
      </c>
      <c r="F204" s="5" t="s">
        <v>51</v>
      </c>
      <c r="G204" s="5" t="s">
        <v>40</v>
      </c>
      <c r="H204" s="6">
        <v>204056.34</v>
      </c>
      <c r="I204" s="6">
        <v>0</v>
      </c>
      <c r="J204" s="8">
        <v>44892</v>
      </c>
      <c r="K204" s="7"/>
      <c r="L204" s="5" t="s">
        <v>26</v>
      </c>
      <c r="M204" s="5" t="s">
        <v>50</v>
      </c>
      <c r="N204" s="6">
        <v>23062.28</v>
      </c>
      <c r="O204" s="6">
        <v>35925.11</v>
      </c>
      <c r="P204" s="5" t="s">
        <v>0</v>
      </c>
    </row>
    <row r="205" spans="1:16" ht="18" customHeight="1" x14ac:dyDescent="0.3">
      <c r="A205" s="3" t="s">
        <v>143</v>
      </c>
      <c r="B205" s="3" t="s">
        <v>142</v>
      </c>
      <c r="C205" s="1" t="s">
        <v>14</v>
      </c>
      <c r="D205" s="3">
        <v>34</v>
      </c>
      <c r="E205" s="1" t="s">
        <v>13</v>
      </c>
      <c r="F205" s="1" t="s">
        <v>46</v>
      </c>
      <c r="G205" s="1" t="s">
        <v>34</v>
      </c>
      <c r="H205" s="2">
        <v>365350.08</v>
      </c>
      <c r="I205" s="2">
        <v>252385.31</v>
      </c>
      <c r="J205" s="4">
        <v>44811</v>
      </c>
      <c r="K205" s="4">
        <v>44832</v>
      </c>
      <c r="L205" s="1" t="s">
        <v>18</v>
      </c>
      <c r="M205" s="1" t="s">
        <v>45</v>
      </c>
      <c r="N205" s="2">
        <v>9578.9699999999993</v>
      </c>
      <c r="O205" s="2">
        <v>30861.22</v>
      </c>
      <c r="P205" s="1" t="s">
        <v>0</v>
      </c>
    </row>
    <row r="206" spans="1:16" ht="18" customHeight="1" x14ac:dyDescent="0.3">
      <c r="A206" s="7" t="s">
        <v>141</v>
      </c>
      <c r="B206" s="7" t="s">
        <v>140</v>
      </c>
      <c r="C206" s="5" t="s">
        <v>6</v>
      </c>
      <c r="D206" s="7">
        <v>36</v>
      </c>
      <c r="E206" s="5" t="s">
        <v>5</v>
      </c>
      <c r="F206" s="5" t="s">
        <v>41</v>
      </c>
      <c r="G206" s="5" t="s">
        <v>27</v>
      </c>
      <c r="H206" s="6">
        <v>75174.11</v>
      </c>
      <c r="I206" s="6">
        <v>0</v>
      </c>
      <c r="J206" s="8">
        <v>44935</v>
      </c>
      <c r="K206" s="7"/>
      <c r="L206" s="5" t="s">
        <v>10</v>
      </c>
      <c r="M206" s="5" t="s">
        <v>39</v>
      </c>
      <c r="N206" s="6">
        <v>13605.82</v>
      </c>
      <c r="O206" s="6">
        <v>8042.96</v>
      </c>
      <c r="P206" s="5" t="s">
        <v>0</v>
      </c>
    </row>
    <row r="207" spans="1:16" ht="18" customHeight="1" x14ac:dyDescent="0.3">
      <c r="A207" s="3" t="s">
        <v>139</v>
      </c>
      <c r="B207" s="3" t="s">
        <v>138</v>
      </c>
      <c r="C207" s="1" t="s">
        <v>77</v>
      </c>
      <c r="D207" s="3">
        <v>65</v>
      </c>
      <c r="E207" s="1" t="s">
        <v>21</v>
      </c>
      <c r="F207" s="1" t="s">
        <v>35</v>
      </c>
      <c r="G207" s="1" t="s">
        <v>19</v>
      </c>
      <c r="H207" s="2">
        <v>168922.25</v>
      </c>
      <c r="I207" s="2">
        <v>0</v>
      </c>
      <c r="J207" s="4">
        <v>44609</v>
      </c>
      <c r="K207" s="3"/>
      <c r="L207" s="1" t="s">
        <v>2</v>
      </c>
      <c r="M207" s="1" t="s">
        <v>33</v>
      </c>
      <c r="N207" s="2">
        <v>34104.93</v>
      </c>
      <c r="O207" s="2">
        <v>26252.48</v>
      </c>
      <c r="P207" s="1" t="s">
        <v>0</v>
      </c>
    </row>
    <row r="208" spans="1:16" ht="18" customHeight="1" x14ac:dyDescent="0.3">
      <c r="A208" s="7" t="s">
        <v>137</v>
      </c>
      <c r="B208" s="7" t="s">
        <v>136</v>
      </c>
      <c r="C208" s="5" t="s">
        <v>74</v>
      </c>
      <c r="D208" s="7">
        <v>33</v>
      </c>
      <c r="E208" s="5" t="s">
        <v>13</v>
      </c>
      <c r="F208" s="5" t="s">
        <v>28</v>
      </c>
      <c r="G208" s="5" t="s">
        <v>11</v>
      </c>
      <c r="H208" s="6">
        <v>466726.49</v>
      </c>
      <c r="I208" s="6">
        <v>0</v>
      </c>
      <c r="J208" s="8">
        <v>44689</v>
      </c>
      <c r="K208" s="7"/>
      <c r="L208" s="5" t="s">
        <v>26</v>
      </c>
      <c r="M208" s="5" t="s">
        <v>25</v>
      </c>
      <c r="N208" s="6">
        <v>36362.519999999997</v>
      </c>
      <c r="O208" s="6">
        <v>60310.16</v>
      </c>
      <c r="P208" s="5" t="s">
        <v>0</v>
      </c>
    </row>
    <row r="209" spans="1:16" ht="18" customHeight="1" x14ac:dyDescent="0.3">
      <c r="A209" s="3" t="s">
        <v>135</v>
      </c>
      <c r="B209" s="3" t="s">
        <v>134</v>
      </c>
      <c r="C209" s="1" t="s">
        <v>71</v>
      </c>
      <c r="D209" s="3">
        <v>30</v>
      </c>
      <c r="E209" s="1" t="s">
        <v>5</v>
      </c>
      <c r="F209" s="1" t="s">
        <v>20</v>
      </c>
      <c r="G209" s="1" t="s">
        <v>3</v>
      </c>
      <c r="H209" s="2">
        <v>83711.070000000007</v>
      </c>
      <c r="I209" s="2">
        <v>52066.8</v>
      </c>
      <c r="J209" s="4">
        <v>45062</v>
      </c>
      <c r="K209" s="4">
        <v>45153</v>
      </c>
      <c r="L209" s="1" t="s">
        <v>18</v>
      </c>
      <c r="M209" s="1" t="s">
        <v>17</v>
      </c>
      <c r="N209" s="2">
        <v>15657.79</v>
      </c>
      <c r="O209" s="2">
        <v>15895.65</v>
      </c>
      <c r="P209" s="1" t="s">
        <v>0</v>
      </c>
    </row>
    <row r="210" spans="1:16" ht="18" customHeight="1" x14ac:dyDescent="0.3">
      <c r="A210" s="7" t="s">
        <v>133</v>
      </c>
      <c r="B210" s="7" t="s">
        <v>132</v>
      </c>
      <c r="C210" s="5" t="s">
        <v>68</v>
      </c>
      <c r="D210" s="7">
        <v>23</v>
      </c>
      <c r="E210" s="5" t="s">
        <v>21</v>
      </c>
      <c r="F210" s="5" t="s">
        <v>12</v>
      </c>
      <c r="G210" s="5" t="s">
        <v>40</v>
      </c>
      <c r="H210" s="6">
        <v>182038.21</v>
      </c>
      <c r="I210" s="6">
        <v>0</v>
      </c>
      <c r="J210" s="8">
        <v>44849</v>
      </c>
      <c r="K210" s="7"/>
      <c r="L210" s="5" t="s">
        <v>10</v>
      </c>
      <c r="M210" s="5" t="s">
        <v>9</v>
      </c>
      <c r="N210" s="6">
        <v>39079.300000000003</v>
      </c>
      <c r="O210" s="6">
        <v>19905.05</v>
      </c>
      <c r="P210" s="5" t="s">
        <v>0</v>
      </c>
    </row>
    <row r="211" spans="1:16" ht="18" customHeight="1" x14ac:dyDescent="0.3">
      <c r="A211" s="3" t="s">
        <v>131</v>
      </c>
      <c r="B211" s="3" t="s">
        <v>130</v>
      </c>
      <c r="C211" s="1" t="s">
        <v>65</v>
      </c>
      <c r="D211" s="3">
        <v>42</v>
      </c>
      <c r="E211" s="1" t="s">
        <v>13</v>
      </c>
      <c r="F211" s="1" t="s">
        <v>4</v>
      </c>
      <c r="G211" s="1" t="s">
        <v>34</v>
      </c>
      <c r="H211" s="2">
        <v>121186.94</v>
      </c>
      <c r="I211" s="2">
        <v>0</v>
      </c>
      <c r="J211" s="4">
        <v>44767</v>
      </c>
      <c r="K211" s="3"/>
      <c r="L211" s="1" t="s">
        <v>2</v>
      </c>
      <c r="M211" s="1" t="s">
        <v>1</v>
      </c>
      <c r="N211" s="2">
        <v>9905.43</v>
      </c>
      <c r="O211" s="2">
        <v>15913.93</v>
      </c>
      <c r="P211" s="1" t="s">
        <v>32</v>
      </c>
    </row>
    <row r="212" spans="1:16" ht="18" customHeight="1" x14ac:dyDescent="0.3">
      <c r="A212" s="7" t="s">
        <v>129</v>
      </c>
      <c r="B212" s="7" t="s">
        <v>128</v>
      </c>
      <c r="C212" s="5" t="s">
        <v>62</v>
      </c>
      <c r="D212" s="7">
        <v>57</v>
      </c>
      <c r="E212" s="5" t="s">
        <v>5</v>
      </c>
      <c r="F212" s="5" t="s">
        <v>61</v>
      </c>
      <c r="G212" s="5" t="s">
        <v>27</v>
      </c>
      <c r="H212" s="6">
        <v>387268.9</v>
      </c>
      <c r="I212" s="6">
        <v>0</v>
      </c>
      <c r="J212" s="8">
        <v>45258</v>
      </c>
      <c r="K212" s="7"/>
      <c r="L212" s="5" t="s">
        <v>26</v>
      </c>
      <c r="M212" s="5" t="s">
        <v>60</v>
      </c>
      <c r="N212" s="6">
        <v>25342.240000000002</v>
      </c>
      <c r="O212" s="6">
        <v>39545.269999999997</v>
      </c>
      <c r="P212" s="5" t="s">
        <v>0</v>
      </c>
    </row>
    <row r="213" spans="1:16" ht="18" customHeight="1" x14ac:dyDescent="0.3">
      <c r="A213" s="3" t="s">
        <v>127</v>
      </c>
      <c r="B213" s="3" t="s">
        <v>126</v>
      </c>
      <c r="C213" s="1" t="s">
        <v>57</v>
      </c>
      <c r="D213" s="3">
        <v>63</v>
      </c>
      <c r="E213" s="1" t="s">
        <v>21</v>
      </c>
      <c r="F213" s="1" t="s">
        <v>56</v>
      </c>
      <c r="G213" s="1" t="s">
        <v>19</v>
      </c>
      <c r="H213" s="2">
        <v>373599.49</v>
      </c>
      <c r="I213" s="2">
        <v>350550.25</v>
      </c>
      <c r="J213" s="4">
        <v>44829</v>
      </c>
      <c r="K213" s="4">
        <v>44908</v>
      </c>
      <c r="L213" s="1" t="s">
        <v>18</v>
      </c>
      <c r="M213" s="1" t="s">
        <v>55</v>
      </c>
      <c r="N213" s="2">
        <v>4123.0600000000004</v>
      </c>
      <c r="O213" s="2">
        <v>23150.35</v>
      </c>
      <c r="P213" s="1" t="s">
        <v>0</v>
      </c>
    </row>
    <row r="214" spans="1:16" ht="18" customHeight="1" x14ac:dyDescent="0.3">
      <c r="A214" s="7" t="s">
        <v>125</v>
      </c>
      <c r="B214" s="7" t="s">
        <v>124</v>
      </c>
      <c r="C214" s="5" t="s">
        <v>52</v>
      </c>
      <c r="D214" s="7">
        <v>32</v>
      </c>
      <c r="E214" s="5" t="s">
        <v>13</v>
      </c>
      <c r="F214" s="5" t="s">
        <v>51</v>
      </c>
      <c r="G214" s="5" t="s">
        <v>11</v>
      </c>
      <c r="H214" s="6">
        <v>125250.09</v>
      </c>
      <c r="I214" s="6">
        <v>0</v>
      </c>
      <c r="J214" s="8">
        <v>45244</v>
      </c>
      <c r="K214" s="7"/>
      <c r="L214" s="5" t="s">
        <v>10</v>
      </c>
      <c r="M214" s="5" t="s">
        <v>50</v>
      </c>
      <c r="N214" s="6">
        <v>23507.57</v>
      </c>
      <c r="O214" s="6">
        <v>15796.18</v>
      </c>
      <c r="P214" s="5" t="s">
        <v>0</v>
      </c>
    </row>
    <row r="215" spans="1:16" ht="18" customHeight="1" x14ac:dyDescent="0.3">
      <c r="A215" s="3" t="s">
        <v>123</v>
      </c>
      <c r="B215" s="3" t="s">
        <v>122</v>
      </c>
      <c r="C215" s="1" t="s">
        <v>47</v>
      </c>
      <c r="D215" s="3">
        <v>51</v>
      </c>
      <c r="E215" s="1" t="s">
        <v>5</v>
      </c>
      <c r="F215" s="1" t="s">
        <v>46</v>
      </c>
      <c r="G215" s="1" t="s">
        <v>3</v>
      </c>
      <c r="H215" s="2">
        <v>83199.45</v>
      </c>
      <c r="I215" s="2">
        <v>0</v>
      </c>
      <c r="J215" s="4">
        <v>44880</v>
      </c>
      <c r="K215" s="3"/>
      <c r="L215" s="1" t="s">
        <v>2</v>
      </c>
      <c r="M215" s="1" t="s">
        <v>45</v>
      </c>
      <c r="N215" s="2">
        <v>44536.24</v>
      </c>
      <c r="O215" s="2">
        <v>9601.43</v>
      </c>
      <c r="P215" s="1" t="s">
        <v>0</v>
      </c>
    </row>
    <row r="216" spans="1:16" ht="18" customHeight="1" x14ac:dyDescent="0.3">
      <c r="A216" s="7" t="s">
        <v>121</v>
      </c>
      <c r="B216" s="7" t="s">
        <v>120</v>
      </c>
      <c r="C216" s="5" t="s">
        <v>42</v>
      </c>
      <c r="D216" s="7">
        <v>50</v>
      </c>
      <c r="E216" s="5" t="s">
        <v>21</v>
      </c>
      <c r="F216" s="5" t="s">
        <v>41</v>
      </c>
      <c r="G216" s="5" t="s">
        <v>40</v>
      </c>
      <c r="H216" s="6">
        <v>379381.94</v>
      </c>
      <c r="I216" s="6">
        <v>0</v>
      </c>
      <c r="J216" s="8">
        <v>44705</v>
      </c>
      <c r="K216" s="7"/>
      <c r="L216" s="5" t="s">
        <v>26</v>
      </c>
      <c r="M216" s="5" t="s">
        <v>39</v>
      </c>
      <c r="N216" s="6">
        <v>7835.63</v>
      </c>
      <c r="O216" s="6">
        <v>20263</v>
      </c>
      <c r="P216" s="5" t="s">
        <v>0</v>
      </c>
    </row>
    <row r="217" spans="1:16" ht="18" customHeight="1" x14ac:dyDescent="0.3">
      <c r="A217" s="3" t="s">
        <v>119</v>
      </c>
      <c r="B217" s="3" t="s">
        <v>118</v>
      </c>
      <c r="C217" s="1" t="s">
        <v>36</v>
      </c>
      <c r="D217" s="3">
        <v>56</v>
      </c>
      <c r="E217" s="1" t="s">
        <v>13</v>
      </c>
      <c r="F217" s="1" t="s">
        <v>35</v>
      </c>
      <c r="G217" s="1" t="s">
        <v>34</v>
      </c>
      <c r="H217" s="2">
        <v>265249.96000000002</v>
      </c>
      <c r="I217" s="2">
        <v>190713.53</v>
      </c>
      <c r="J217" s="4">
        <v>44967</v>
      </c>
      <c r="K217" s="4">
        <v>45029</v>
      </c>
      <c r="L217" s="1" t="s">
        <v>18</v>
      </c>
      <c r="M217" s="1" t="s">
        <v>33</v>
      </c>
      <c r="N217" s="2">
        <v>47146.02</v>
      </c>
      <c r="O217" s="2">
        <v>50538.96</v>
      </c>
      <c r="P217" s="1" t="s">
        <v>0</v>
      </c>
    </row>
    <row r="218" spans="1:16" ht="18" customHeight="1" x14ac:dyDescent="0.3">
      <c r="A218" s="7" t="s">
        <v>117</v>
      </c>
      <c r="B218" s="7" t="s">
        <v>116</v>
      </c>
      <c r="C218" s="5" t="s">
        <v>29</v>
      </c>
      <c r="D218" s="7">
        <v>35</v>
      </c>
      <c r="E218" s="5" t="s">
        <v>5</v>
      </c>
      <c r="F218" s="5" t="s">
        <v>28</v>
      </c>
      <c r="G218" s="5" t="s">
        <v>27</v>
      </c>
      <c r="H218" s="6">
        <v>151425.89000000001</v>
      </c>
      <c r="I218" s="6">
        <v>0</v>
      </c>
      <c r="J218" s="8">
        <v>45040</v>
      </c>
      <c r="K218" s="7"/>
      <c r="L218" s="5" t="s">
        <v>10</v>
      </c>
      <c r="M218" s="5" t="s">
        <v>25</v>
      </c>
      <c r="N218" s="6">
        <v>22055.43</v>
      </c>
      <c r="O218" s="6">
        <v>17749.79</v>
      </c>
      <c r="P218" s="5" t="s">
        <v>0</v>
      </c>
    </row>
    <row r="219" spans="1:16" ht="18" customHeight="1" x14ac:dyDescent="0.3">
      <c r="A219" s="3" t="s">
        <v>115</v>
      </c>
      <c r="B219" s="3" t="s">
        <v>114</v>
      </c>
      <c r="C219" s="1" t="s">
        <v>22</v>
      </c>
      <c r="D219" s="3">
        <v>29</v>
      </c>
      <c r="E219" s="1" t="s">
        <v>21</v>
      </c>
      <c r="F219" s="1" t="s">
        <v>20</v>
      </c>
      <c r="G219" s="1" t="s">
        <v>19</v>
      </c>
      <c r="H219" s="2">
        <v>108734.05</v>
      </c>
      <c r="I219" s="2">
        <v>0</v>
      </c>
      <c r="J219" s="4">
        <v>44942</v>
      </c>
      <c r="K219" s="3"/>
      <c r="L219" s="1" t="s">
        <v>2</v>
      </c>
      <c r="M219" s="1" t="s">
        <v>17</v>
      </c>
      <c r="N219" s="2">
        <v>27397.919999999998</v>
      </c>
      <c r="O219" s="2">
        <v>20729.79</v>
      </c>
      <c r="P219" s="1" t="s">
        <v>0</v>
      </c>
    </row>
    <row r="220" spans="1:16" ht="18" customHeight="1" x14ac:dyDescent="0.3">
      <c r="A220" s="7" t="s">
        <v>113</v>
      </c>
      <c r="B220" s="7" t="s">
        <v>112</v>
      </c>
      <c r="C220" s="5" t="s">
        <v>14</v>
      </c>
      <c r="D220" s="7">
        <v>72</v>
      </c>
      <c r="E220" s="5" t="s">
        <v>13</v>
      </c>
      <c r="F220" s="5" t="s">
        <v>12</v>
      </c>
      <c r="G220" s="5" t="s">
        <v>11</v>
      </c>
      <c r="H220" s="6">
        <v>385454.33</v>
      </c>
      <c r="I220" s="6">
        <v>0</v>
      </c>
      <c r="J220" s="8">
        <v>44890</v>
      </c>
      <c r="K220" s="7"/>
      <c r="L220" s="5" t="s">
        <v>26</v>
      </c>
      <c r="M220" s="5" t="s">
        <v>9</v>
      </c>
      <c r="N220" s="6">
        <v>33234.31</v>
      </c>
      <c r="O220" s="6">
        <v>32535.07</v>
      </c>
      <c r="P220" s="5" t="s">
        <v>0</v>
      </c>
    </row>
    <row r="221" spans="1:16" ht="18" customHeight="1" x14ac:dyDescent="0.3">
      <c r="A221" s="3" t="s">
        <v>111</v>
      </c>
      <c r="B221" s="3" t="s">
        <v>110</v>
      </c>
      <c r="C221" s="1" t="s">
        <v>6</v>
      </c>
      <c r="D221" s="3">
        <v>33</v>
      </c>
      <c r="E221" s="1" t="s">
        <v>5</v>
      </c>
      <c r="F221" s="1" t="s">
        <v>4</v>
      </c>
      <c r="G221" s="1" t="s">
        <v>3</v>
      </c>
      <c r="H221" s="2">
        <v>140197.35</v>
      </c>
      <c r="I221" s="2">
        <v>92142.12</v>
      </c>
      <c r="J221" s="4">
        <v>45171</v>
      </c>
      <c r="K221" s="4">
        <v>45237</v>
      </c>
      <c r="L221" s="1" t="s">
        <v>18</v>
      </c>
      <c r="M221" s="1" t="s">
        <v>1</v>
      </c>
      <c r="N221" s="2">
        <v>3810.59</v>
      </c>
      <c r="O221" s="2">
        <v>11515.42</v>
      </c>
      <c r="P221" s="1" t="s">
        <v>0</v>
      </c>
    </row>
    <row r="222" spans="1:16" ht="18" customHeight="1" x14ac:dyDescent="0.3">
      <c r="A222" s="7" t="s">
        <v>109</v>
      </c>
      <c r="B222" s="7" t="s">
        <v>108</v>
      </c>
      <c r="C222" s="5" t="s">
        <v>77</v>
      </c>
      <c r="D222" s="7">
        <v>65</v>
      </c>
      <c r="E222" s="5" t="s">
        <v>21</v>
      </c>
      <c r="F222" s="5" t="s">
        <v>61</v>
      </c>
      <c r="G222" s="5" t="s">
        <v>40</v>
      </c>
      <c r="H222" s="6">
        <v>494798.32</v>
      </c>
      <c r="I222" s="6">
        <v>0</v>
      </c>
      <c r="J222" s="8">
        <v>44656</v>
      </c>
      <c r="K222" s="7"/>
      <c r="L222" s="5" t="s">
        <v>10</v>
      </c>
      <c r="M222" s="5" t="s">
        <v>60</v>
      </c>
      <c r="N222" s="6">
        <v>24006.53</v>
      </c>
      <c r="O222" s="6">
        <v>28821.35</v>
      </c>
      <c r="P222" s="5" t="s">
        <v>0</v>
      </c>
    </row>
    <row r="223" spans="1:16" ht="18" customHeight="1" x14ac:dyDescent="0.3">
      <c r="A223" s="3" t="s">
        <v>107</v>
      </c>
      <c r="B223" s="3" t="s">
        <v>106</v>
      </c>
      <c r="C223" s="1" t="s">
        <v>74</v>
      </c>
      <c r="D223" s="3">
        <v>34</v>
      </c>
      <c r="E223" s="1" t="s">
        <v>13</v>
      </c>
      <c r="F223" s="1" t="s">
        <v>56</v>
      </c>
      <c r="G223" s="1" t="s">
        <v>34</v>
      </c>
      <c r="H223" s="2">
        <v>223017.56</v>
      </c>
      <c r="I223" s="2">
        <v>0</v>
      </c>
      <c r="J223" s="4">
        <v>44597</v>
      </c>
      <c r="K223" s="3"/>
      <c r="L223" s="1" t="s">
        <v>2</v>
      </c>
      <c r="M223" s="1" t="s">
        <v>55</v>
      </c>
      <c r="N223" s="2">
        <v>24347.73</v>
      </c>
      <c r="O223" s="2">
        <v>43310.53</v>
      </c>
      <c r="P223" s="1" t="s">
        <v>0</v>
      </c>
    </row>
    <row r="224" spans="1:16" ht="18" customHeight="1" x14ac:dyDescent="0.3">
      <c r="A224" s="7" t="s">
        <v>105</v>
      </c>
      <c r="B224" s="7" t="s">
        <v>104</v>
      </c>
      <c r="C224" s="5" t="s">
        <v>71</v>
      </c>
      <c r="D224" s="7">
        <v>54</v>
      </c>
      <c r="E224" s="5" t="s">
        <v>5</v>
      </c>
      <c r="F224" s="5" t="s">
        <v>51</v>
      </c>
      <c r="G224" s="5" t="s">
        <v>27</v>
      </c>
      <c r="H224" s="6">
        <v>420402.17</v>
      </c>
      <c r="I224" s="6">
        <v>0</v>
      </c>
      <c r="J224" s="8">
        <v>45125</v>
      </c>
      <c r="K224" s="7"/>
      <c r="L224" s="5" t="s">
        <v>26</v>
      </c>
      <c r="M224" s="5" t="s">
        <v>50</v>
      </c>
      <c r="N224" s="6">
        <v>7165.54</v>
      </c>
      <c r="O224" s="6">
        <v>53541.57</v>
      </c>
      <c r="P224" s="5" t="s">
        <v>0</v>
      </c>
    </row>
    <row r="225" spans="1:16" ht="18" customHeight="1" x14ac:dyDescent="0.3">
      <c r="A225" s="3" t="s">
        <v>103</v>
      </c>
      <c r="B225" s="3" t="s">
        <v>102</v>
      </c>
      <c r="C225" s="1" t="s">
        <v>68</v>
      </c>
      <c r="D225" s="3">
        <v>47</v>
      </c>
      <c r="E225" s="1" t="s">
        <v>21</v>
      </c>
      <c r="F225" s="1" t="s">
        <v>46</v>
      </c>
      <c r="G225" s="1" t="s">
        <v>19</v>
      </c>
      <c r="H225" s="2">
        <v>457892.85</v>
      </c>
      <c r="I225" s="2">
        <v>282703.11</v>
      </c>
      <c r="J225" s="4">
        <v>44807</v>
      </c>
      <c r="K225" s="4">
        <v>44859</v>
      </c>
      <c r="L225" s="1" t="s">
        <v>18</v>
      </c>
      <c r="M225" s="1" t="s">
        <v>45</v>
      </c>
      <c r="N225" s="2">
        <v>31301.66</v>
      </c>
      <c r="O225" s="2">
        <v>82406.559999999998</v>
      </c>
      <c r="P225" s="1" t="s">
        <v>0</v>
      </c>
    </row>
    <row r="226" spans="1:16" ht="18" customHeight="1" x14ac:dyDescent="0.3">
      <c r="A226" s="7" t="s">
        <v>101</v>
      </c>
      <c r="B226" s="7" t="s">
        <v>100</v>
      </c>
      <c r="C226" s="5" t="s">
        <v>65</v>
      </c>
      <c r="D226" s="7">
        <v>64</v>
      </c>
      <c r="E226" s="5" t="s">
        <v>13</v>
      </c>
      <c r="F226" s="5" t="s">
        <v>41</v>
      </c>
      <c r="G226" s="5" t="s">
        <v>11</v>
      </c>
      <c r="H226" s="6">
        <v>219505.13</v>
      </c>
      <c r="I226" s="6">
        <v>0</v>
      </c>
      <c r="J226" s="8">
        <v>45246</v>
      </c>
      <c r="K226" s="7"/>
      <c r="L226" s="5" t="s">
        <v>10</v>
      </c>
      <c r="M226" s="5" t="s">
        <v>39</v>
      </c>
      <c r="N226" s="6">
        <v>35838.82</v>
      </c>
      <c r="O226" s="6">
        <v>17688.240000000002</v>
      </c>
      <c r="P226" s="5" t="s">
        <v>0</v>
      </c>
    </row>
    <row r="227" spans="1:16" ht="18" customHeight="1" x14ac:dyDescent="0.3">
      <c r="A227" s="3" t="s">
        <v>99</v>
      </c>
      <c r="B227" s="3" t="s">
        <v>98</v>
      </c>
      <c r="C227" s="1" t="s">
        <v>62</v>
      </c>
      <c r="D227" s="3">
        <v>66</v>
      </c>
      <c r="E227" s="1" t="s">
        <v>5</v>
      </c>
      <c r="F227" s="1" t="s">
        <v>35</v>
      </c>
      <c r="G227" s="1" t="s">
        <v>3</v>
      </c>
      <c r="H227" s="2">
        <v>215900.54</v>
      </c>
      <c r="I227" s="2">
        <v>0</v>
      </c>
      <c r="J227" s="4">
        <v>45120</v>
      </c>
      <c r="K227" s="3"/>
      <c r="L227" s="1" t="s">
        <v>2</v>
      </c>
      <c r="M227" s="1" t="s">
        <v>33</v>
      </c>
      <c r="N227" s="2">
        <v>17921.71</v>
      </c>
      <c r="O227" s="2">
        <v>19134.150000000001</v>
      </c>
      <c r="P227" s="1" t="s">
        <v>0</v>
      </c>
    </row>
    <row r="228" spans="1:16" ht="18" customHeight="1" x14ac:dyDescent="0.3">
      <c r="A228" s="7" t="s">
        <v>97</v>
      </c>
      <c r="B228" s="7" t="s">
        <v>96</v>
      </c>
      <c r="C228" s="5" t="s">
        <v>57</v>
      </c>
      <c r="D228" s="7">
        <v>27</v>
      </c>
      <c r="E228" s="5" t="s">
        <v>21</v>
      </c>
      <c r="F228" s="5" t="s">
        <v>28</v>
      </c>
      <c r="G228" s="5" t="s">
        <v>40</v>
      </c>
      <c r="H228" s="6">
        <v>476761.06</v>
      </c>
      <c r="I228" s="6">
        <v>0</v>
      </c>
      <c r="J228" s="8">
        <v>45218</v>
      </c>
      <c r="K228" s="7"/>
      <c r="L228" s="5" t="s">
        <v>26</v>
      </c>
      <c r="M228" s="5" t="s">
        <v>25</v>
      </c>
      <c r="N228" s="6">
        <v>48035.33</v>
      </c>
      <c r="O228" s="6">
        <v>82820.27</v>
      </c>
      <c r="P228" s="5" t="s">
        <v>0</v>
      </c>
    </row>
    <row r="229" spans="1:16" ht="18" customHeight="1" x14ac:dyDescent="0.3">
      <c r="A229" s="3" t="s">
        <v>95</v>
      </c>
      <c r="B229" s="3" t="s">
        <v>94</v>
      </c>
      <c r="C229" s="1" t="s">
        <v>52</v>
      </c>
      <c r="D229" s="3">
        <v>52</v>
      </c>
      <c r="E229" s="1" t="s">
        <v>13</v>
      </c>
      <c r="F229" s="1" t="s">
        <v>20</v>
      </c>
      <c r="G229" s="1" t="s">
        <v>34</v>
      </c>
      <c r="H229" s="2">
        <v>24522.5</v>
      </c>
      <c r="I229" s="2">
        <v>18205.04</v>
      </c>
      <c r="J229" s="4">
        <v>45069</v>
      </c>
      <c r="K229" s="4">
        <v>45110</v>
      </c>
      <c r="L229" s="1" t="s">
        <v>18</v>
      </c>
      <c r="M229" s="1" t="s">
        <v>17</v>
      </c>
      <c r="N229" s="2">
        <v>13335.86</v>
      </c>
      <c r="O229" s="2">
        <v>3866.87</v>
      </c>
      <c r="P229" s="1" t="s">
        <v>0</v>
      </c>
    </row>
    <row r="230" spans="1:16" ht="18" customHeight="1" x14ac:dyDescent="0.3">
      <c r="A230" s="7" t="s">
        <v>93</v>
      </c>
      <c r="B230" s="7" t="s">
        <v>92</v>
      </c>
      <c r="C230" s="5" t="s">
        <v>47</v>
      </c>
      <c r="D230" s="7">
        <v>61</v>
      </c>
      <c r="E230" s="5" t="s">
        <v>5</v>
      </c>
      <c r="F230" s="5" t="s">
        <v>12</v>
      </c>
      <c r="G230" s="5" t="s">
        <v>27</v>
      </c>
      <c r="H230" s="6">
        <v>310979.82</v>
      </c>
      <c r="I230" s="6">
        <v>0</v>
      </c>
      <c r="J230" s="8">
        <v>45271</v>
      </c>
      <c r="K230" s="7"/>
      <c r="L230" s="5" t="s">
        <v>10</v>
      </c>
      <c r="M230" s="5" t="s">
        <v>9</v>
      </c>
      <c r="N230" s="6">
        <v>28441.71</v>
      </c>
      <c r="O230" s="6">
        <v>58801.89</v>
      </c>
      <c r="P230" s="5" t="s">
        <v>0</v>
      </c>
    </row>
    <row r="231" spans="1:16" ht="18" customHeight="1" x14ac:dyDescent="0.3">
      <c r="A231" s="3" t="s">
        <v>91</v>
      </c>
      <c r="B231" s="3" t="s">
        <v>90</v>
      </c>
      <c r="C231" s="1" t="s">
        <v>42</v>
      </c>
      <c r="D231" s="3">
        <v>65</v>
      </c>
      <c r="E231" s="1" t="s">
        <v>21</v>
      </c>
      <c r="F231" s="1" t="s">
        <v>4</v>
      </c>
      <c r="G231" s="1" t="s">
        <v>19</v>
      </c>
      <c r="H231" s="2">
        <v>64324.74</v>
      </c>
      <c r="I231" s="2">
        <v>0</v>
      </c>
      <c r="J231" s="4">
        <v>44697</v>
      </c>
      <c r="K231" s="3"/>
      <c r="L231" s="1" t="s">
        <v>2</v>
      </c>
      <c r="M231" s="1" t="s">
        <v>1</v>
      </c>
      <c r="N231" s="2">
        <v>28366.34</v>
      </c>
      <c r="O231" s="2">
        <v>8700.01</v>
      </c>
      <c r="P231" s="1" t="s">
        <v>0</v>
      </c>
    </row>
    <row r="232" spans="1:16" ht="18" customHeight="1" x14ac:dyDescent="0.3">
      <c r="A232" s="7" t="s">
        <v>89</v>
      </c>
      <c r="B232" s="7" t="s">
        <v>88</v>
      </c>
      <c r="C232" s="5" t="s">
        <v>36</v>
      </c>
      <c r="D232" s="7">
        <v>45</v>
      </c>
      <c r="E232" s="5" t="s">
        <v>13</v>
      </c>
      <c r="F232" s="5" t="s">
        <v>61</v>
      </c>
      <c r="G232" s="5" t="s">
        <v>11</v>
      </c>
      <c r="H232" s="6">
        <v>195078.63</v>
      </c>
      <c r="I232" s="6">
        <v>0</v>
      </c>
      <c r="J232" s="8">
        <v>44737</v>
      </c>
      <c r="K232" s="7"/>
      <c r="L232" s="5" t="s">
        <v>26</v>
      </c>
      <c r="M232" s="5" t="s">
        <v>60</v>
      </c>
      <c r="N232" s="6">
        <v>38052.379999999997</v>
      </c>
      <c r="O232" s="6">
        <v>29775.91</v>
      </c>
      <c r="P232" s="5" t="s">
        <v>0</v>
      </c>
    </row>
    <row r="233" spans="1:16" ht="18" customHeight="1" x14ac:dyDescent="0.3">
      <c r="A233" s="3" t="s">
        <v>87</v>
      </c>
      <c r="B233" s="3" t="s">
        <v>86</v>
      </c>
      <c r="C233" s="1" t="s">
        <v>29</v>
      </c>
      <c r="D233" s="3">
        <v>67</v>
      </c>
      <c r="E233" s="1" t="s">
        <v>5</v>
      </c>
      <c r="F233" s="1" t="s">
        <v>56</v>
      </c>
      <c r="G233" s="1" t="s">
        <v>3</v>
      </c>
      <c r="H233" s="2">
        <v>52217.51</v>
      </c>
      <c r="I233" s="2">
        <v>31658.400000000001</v>
      </c>
      <c r="J233" s="4">
        <v>44940</v>
      </c>
      <c r="K233" s="4">
        <v>45027</v>
      </c>
      <c r="L233" s="1" t="s">
        <v>18</v>
      </c>
      <c r="M233" s="1" t="s">
        <v>55</v>
      </c>
      <c r="N233" s="2">
        <v>43430.15</v>
      </c>
      <c r="O233" s="2">
        <v>3331.35</v>
      </c>
      <c r="P233" s="1" t="s">
        <v>0</v>
      </c>
    </row>
    <row r="234" spans="1:16" ht="18" customHeight="1" x14ac:dyDescent="0.3">
      <c r="A234" s="7" t="s">
        <v>85</v>
      </c>
      <c r="B234" s="7" t="s">
        <v>84</v>
      </c>
      <c r="C234" s="5" t="s">
        <v>22</v>
      </c>
      <c r="D234" s="7">
        <v>45</v>
      </c>
      <c r="E234" s="5" t="s">
        <v>21</v>
      </c>
      <c r="F234" s="5" t="s">
        <v>51</v>
      </c>
      <c r="G234" s="5" t="s">
        <v>40</v>
      </c>
      <c r="H234" s="6">
        <v>132273.81</v>
      </c>
      <c r="I234" s="6">
        <v>0</v>
      </c>
      <c r="J234" s="8">
        <v>44893</v>
      </c>
      <c r="K234" s="7"/>
      <c r="L234" s="5" t="s">
        <v>10</v>
      </c>
      <c r="M234" s="5" t="s">
        <v>50</v>
      </c>
      <c r="N234" s="6">
        <v>29358.28</v>
      </c>
      <c r="O234" s="6">
        <v>15058.85</v>
      </c>
      <c r="P234" s="5" t="s">
        <v>0</v>
      </c>
    </row>
    <row r="235" spans="1:16" ht="18" customHeight="1" x14ac:dyDescent="0.3">
      <c r="A235" s="3" t="s">
        <v>83</v>
      </c>
      <c r="B235" s="3" t="s">
        <v>82</v>
      </c>
      <c r="C235" s="1" t="s">
        <v>14</v>
      </c>
      <c r="D235" s="3">
        <v>46</v>
      </c>
      <c r="E235" s="1" t="s">
        <v>13</v>
      </c>
      <c r="F235" s="1" t="s">
        <v>46</v>
      </c>
      <c r="G235" s="1" t="s">
        <v>34</v>
      </c>
      <c r="H235" s="2">
        <v>157508.75</v>
      </c>
      <c r="I235" s="2">
        <v>0</v>
      </c>
      <c r="J235" s="4">
        <v>44850</v>
      </c>
      <c r="K235" s="3"/>
      <c r="L235" s="1" t="s">
        <v>2</v>
      </c>
      <c r="M235" s="1" t="s">
        <v>45</v>
      </c>
      <c r="N235" s="2">
        <v>17398.66</v>
      </c>
      <c r="O235" s="2">
        <v>23070.880000000001</v>
      </c>
      <c r="P235" s="1" t="s">
        <v>0</v>
      </c>
    </row>
    <row r="236" spans="1:16" ht="18" customHeight="1" x14ac:dyDescent="0.3">
      <c r="A236" s="7" t="s">
        <v>81</v>
      </c>
      <c r="B236" s="7" t="s">
        <v>80</v>
      </c>
      <c r="C236" s="5" t="s">
        <v>6</v>
      </c>
      <c r="D236" s="7">
        <v>21</v>
      </c>
      <c r="E236" s="5" t="s">
        <v>5</v>
      </c>
      <c r="F236" s="5" t="s">
        <v>41</v>
      </c>
      <c r="G236" s="5" t="s">
        <v>27</v>
      </c>
      <c r="H236" s="6">
        <v>248093.67</v>
      </c>
      <c r="I236" s="6">
        <v>0</v>
      </c>
      <c r="J236" s="8">
        <v>44670</v>
      </c>
      <c r="K236" s="7"/>
      <c r="L236" s="5" t="s">
        <v>26</v>
      </c>
      <c r="M236" s="5" t="s">
        <v>39</v>
      </c>
      <c r="N236" s="6">
        <v>34649.279999999999</v>
      </c>
      <c r="O236" s="6">
        <v>48449.06</v>
      </c>
      <c r="P236" s="5" t="s">
        <v>0</v>
      </c>
    </row>
    <row r="237" spans="1:16" ht="18" customHeight="1" x14ac:dyDescent="0.3">
      <c r="A237" s="3" t="s">
        <v>79</v>
      </c>
      <c r="B237" s="3" t="s">
        <v>78</v>
      </c>
      <c r="C237" s="1" t="s">
        <v>77</v>
      </c>
      <c r="D237" s="3">
        <v>56</v>
      </c>
      <c r="E237" s="1" t="s">
        <v>21</v>
      </c>
      <c r="F237" s="1" t="s">
        <v>35</v>
      </c>
      <c r="G237" s="1" t="s">
        <v>19</v>
      </c>
      <c r="H237" s="2">
        <v>68002.899999999994</v>
      </c>
      <c r="I237" s="2">
        <v>53823.07</v>
      </c>
      <c r="J237" s="4">
        <v>45129</v>
      </c>
      <c r="K237" s="4">
        <v>45169</v>
      </c>
      <c r="L237" s="1" t="s">
        <v>18</v>
      </c>
      <c r="M237" s="1" t="s">
        <v>33</v>
      </c>
      <c r="N237" s="2">
        <v>18518.669999999998</v>
      </c>
      <c r="O237" s="2">
        <v>4407.2700000000004</v>
      </c>
      <c r="P237" s="1" t="s">
        <v>0</v>
      </c>
    </row>
    <row r="238" spans="1:16" ht="18" customHeight="1" x14ac:dyDescent="0.3">
      <c r="A238" s="7" t="s">
        <v>76</v>
      </c>
      <c r="B238" s="7" t="s">
        <v>75</v>
      </c>
      <c r="C238" s="5" t="s">
        <v>74</v>
      </c>
      <c r="D238" s="7">
        <v>55</v>
      </c>
      <c r="E238" s="5" t="s">
        <v>13</v>
      </c>
      <c r="F238" s="5" t="s">
        <v>28</v>
      </c>
      <c r="G238" s="5" t="s">
        <v>11</v>
      </c>
      <c r="H238" s="6">
        <v>422936.65</v>
      </c>
      <c r="I238" s="6">
        <v>0</v>
      </c>
      <c r="J238" s="8">
        <v>44605</v>
      </c>
      <c r="K238" s="7"/>
      <c r="L238" s="5" t="s">
        <v>10</v>
      </c>
      <c r="M238" s="5" t="s">
        <v>25</v>
      </c>
      <c r="N238" s="6">
        <v>42661.69</v>
      </c>
      <c r="O238" s="6">
        <v>46220.11</v>
      </c>
      <c r="P238" s="5" t="s">
        <v>0</v>
      </c>
    </row>
    <row r="239" spans="1:16" ht="18" customHeight="1" x14ac:dyDescent="0.3">
      <c r="A239" s="3" t="s">
        <v>73</v>
      </c>
      <c r="B239" s="3" t="s">
        <v>72</v>
      </c>
      <c r="C239" s="1" t="s">
        <v>71</v>
      </c>
      <c r="D239" s="3">
        <v>40</v>
      </c>
      <c r="E239" s="1" t="s">
        <v>5</v>
      </c>
      <c r="F239" s="1" t="s">
        <v>20</v>
      </c>
      <c r="G239" s="1" t="s">
        <v>3</v>
      </c>
      <c r="H239" s="2">
        <v>61687.35</v>
      </c>
      <c r="I239" s="2">
        <v>0</v>
      </c>
      <c r="J239" s="4">
        <v>45041</v>
      </c>
      <c r="K239" s="3"/>
      <c r="L239" s="1" t="s">
        <v>2</v>
      </c>
      <c r="M239" s="1" t="s">
        <v>17</v>
      </c>
      <c r="N239" s="2">
        <v>26523.45</v>
      </c>
      <c r="O239" s="2">
        <v>4786.93</v>
      </c>
      <c r="P239" s="1" t="s">
        <v>0</v>
      </c>
    </row>
    <row r="240" spans="1:16" ht="18" customHeight="1" x14ac:dyDescent="0.3">
      <c r="A240" s="7" t="s">
        <v>70</v>
      </c>
      <c r="B240" s="7" t="s">
        <v>69</v>
      </c>
      <c r="C240" s="5" t="s">
        <v>68</v>
      </c>
      <c r="D240" s="7">
        <v>42</v>
      </c>
      <c r="E240" s="5" t="s">
        <v>21</v>
      </c>
      <c r="F240" s="5" t="s">
        <v>12</v>
      </c>
      <c r="G240" s="5" t="s">
        <v>40</v>
      </c>
      <c r="H240" s="6">
        <v>373622.34</v>
      </c>
      <c r="I240" s="6">
        <v>0</v>
      </c>
      <c r="J240" s="8">
        <v>44983</v>
      </c>
      <c r="K240" s="7"/>
      <c r="L240" s="5" t="s">
        <v>26</v>
      </c>
      <c r="M240" s="5" t="s">
        <v>9</v>
      </c>
      <c r="N240" s="6">
        <v>25247.9</v>
      </c>
      <c r="O240" s="6">
        <v>29681.49</v>
      </c>
      <c r="P240" s="5" t="s">
        <v>0</v>
      </c>
    </row>
    <row r="241" spans="1:16" ht="18" customHeight="1" x14ac:dyDescent="0.3">
      <c r="A241" s="3" t="s">
        <v>67</v>
      </c>
      <c r="B241" s="3" t="s">
        <v>66</v>
      </c>
      <c r="C241" s="1" t="s">
        <v>65</v>
      </c>
      <c r="D241" s="3">
        <v>50</v>
      </c>
      <c r="E241" s="1" t="s">
        <v>13</v>
      </c>
      <c r="F241" s="1" t="s">
        <v>4</v>
      </c>
      <c r="G241" s="1" t="s">
        <v>34</v>
      </c>
      <c r="H241" s="2">
        <v>253143.27</v>
      </c>
      <c r="I241" s="2">
        <v>217718.98</v>
      </c>
      <c r="J241" s="4">
        <v>44834</v>
      </c>
      <c r="K241" s="4">
        <v>44882</v>
      </c>
      <c r="L241" s="1" t="s">
        <v>18</v>
      </c>
      <c r="M241" s="1" t="s">
        <v>1</v>
      </c>
      <c r="N241" s="2">
        <v>20430.73</v>
      </c>
      <c r="O241" s="2">
        <v>42577.48</v>
      </c>
      <c r="P241" s="1" t="s">
        <v>0</v>
      </c>
    </row>
    <row r="242" spans="1:16" ht="18" customHeight="1" x14ac:dyDescent="0.3">
      <c r="A242" s="7" t="s">
        <v>64</v>
      </c>
      <c r="B242" s="7" t="s">
        <v>63</v>
      </c>
      <c r="C242" s="5" t="s">
        <v>62</v>
      </c>
      <c r="D242" s="7">
        <v>71</v>
      </c>
      <c r="E242" s="5" t="s">
        <v>5</v>
      </c>
      <c r="F242" s="5" t="s">
        <v>61</v>
      </c>
      <c r="G242" s="5" t="s">
        <v>27</v>
      </c>
      <c r="H242" s="6">
        <v>432999.92</v>
      </c>
      <c r="I242" s="6">
        <v>0</v>
      </c>
      <c r="J242" s="8">
        <v>44833</v>
      </c>
      <c r="K242" s="7"/>
      <c r="L242" s="5" t="s">
        <v>10</v>
      </c>
      <c r="M242" s="5" t="s">
        <v>60</v>
      </c>
      <c r="N242" s="6">
        <v>49512.91</v>
      </c>
      <c r="O242" s="6">
        <v>61751.7</v>
      </c>
      <c r="P242" s="5" t="s">
        <v>32</v>
      </c>
    </row>
    <row r="243" spans="1:16" ht="18" customHeight="1" x14ac:dyDescent="0.3">
      <c r="A243" s="3" t="s">
        <v>59</v>
      </c>
      <c r="B243" s="3" t="s">
        <v>58</v>
      </c>
      <c r="C243" s="1" t="s">
        <v>57</v>
      </c>
      <c r="D243" s="3">
        <v>39</v>
      </c>
      <c r="E243" s="1" t="s">
        <v>21</v>
      </c>
      <c r="F243" s="1" t="s">
        <v>56</v>
      </c>
      <c r="G243" s="1" t="s">
        <v>19</v>
      </c>
      <c r="H243" s="2">
        <v>492129.63</v>
      </c>
      <c r="I243" s="2">
        <v>0</v>
      </c>
      <c r="J243" s="4">
        <v>44692</v>
      </c>
      <c r="K243" s="3"/>
      <c r="L243" s="1" t="s">
        <v>2</v>
      </c>
      <c r="M243" s="1" t="s">
        <v>55</v>
      </c>
      <c r="N243" s="2">
        <v>8714.7900000000009</v>
      </c>
      <c r="O243" s="2">
        <v>52740.07</v>
      </c>
      <c r="P243" s="1" t="s">
        <v>0</v>
      </c>
    </row>
    <row r="244" spans="1:16" ht="18" customHeight="1" x14ac:dyDescent="0.3">
      <c r="A244" s="7" t="s">
        <v>54</v>
      </c>
      <c r="B244" s="7" t="s">
        <v>53</v>
      </c>
      <c r="C244" s="5" t="s">
        <v>52</v>
      </c>
      <c r="D244" s="7">
        <v>55</v>
      </c>
      <c r="E244" s="5" t="s">
        <v>13</v>
      </c>
      <c r="F244" s="5" t="s">
        <v>51</v>
      </c>
      <c r="G244" s="5" t="s">
        <v>11</v>
      </c>
      <c r="H244" s="6">
        <v>395581.54</v>
      </c>
      <c r="I244" s="6">
        <v>0</v>
      </c>
      <c r="J244" s="8">
        <v>44995</v>
      </c>
      <c r="K244" s="7"/>
      <c r="L244" s="5" t="s">
        <v>26</v>
      </c>
      <c r="M244" s="5" t="s">
        <v>50</v>
      </c>
      <c r="N244" s="6">
        <v>16344.35</v>
      </c>
      <c r="O244" s="6">
        <v>30663.97</v>
      </c>
      <c r="P244" s="5" t="s">
        <v>0</v>
      </c>
    </row>
    <row r="245" spans="1:16" ht="18" customHeight="1" x14ac:dyDescent="0.3">
      <c r="A245" s="3" t="s">
        <v>49</v>
      </c>
      <c r="B245" s="3" t="s">
        <v>48</v>
      </c>
      <c r="C245" s="1" t="s">
        <v>47</v>
      </c>
      <c r="D245" s="3">
        <v>33</v>
      </c>
      <c r="E245" s="1" t="s">
        <v>5</v>
      </c>
      <c r="F245" s="1" t="s">
        <v>46</v>
      </c>
      <c r="G245" s="1" t="s">
        <v>3</v>
      </c>
      <c r="H245" s="2">
        <v>456249.5</v>
      </c>
      <c r="I245" s="2">
        <v>310750.39</v>
      </c>
      <c r="J245" s="4">
        <v>44673</v>
      </c>
      <c r="K245" s="4">
        <v>44743</v>
      </c>
      <c r="L245" s="1" t="s">
        <v>18</v>
      </c>
      <c r="M245" s="1" t="s">
        <v>45</v>
      </c>
      <c r="N245" s="2">
        <v>2366.4299999999998</v>
      </c>
      <c r="O245" s="2">
        <v>73264.47</v>
      </c>
      <c r="P245" s="1" t="s">
        <v>0</v>
      </c>
    </row>
    <row r="246" spans="1:16" ht="18" customHeight="1" x14ac:dyDescent="0.3">
      <c r="A246" s="7" t="s">
        <v>44</v>
      </c>
      <c r="B246" s="7" t="s">
        <v>43</v>
      </c>
      <c r="C246" s="5" t="s">
        <v>42</v>
      </c>
      <c r="D246" s="7">
        <v>63</v>
      </c>
      <c r="E246" s="5" t="s">
        <v>21</v>
      </c>
      <c r="F246" s="5" t="s">
        <v>41</v>
      </c>
      <c r="G246" s="5" t="s">
        <v>40</v>
      </c>
      <c r="H246" s="6">
        <v>137772.32</v>
      </c>
      <c r="I246" s="6">
        <v>0</v>
      </c>
      <c r="J246" s="8">
        <v>45280</v>
      </c>
      <c r="K246" s="7"/>
      <c r="L246" s="5" t="s">
        <v>10</v>
      </c>
      <c r="M246" s="5" t="s">
        <v>39</v>
      </c>
      <c r="N246" s="6">
        <v>7716.02</v>
      </c>
      <c r="O246" s="6">
        <v>10897.87</v>
      </c>
      <c r="P246" s="5" t="s">
        <v>0</v>
      </c>
    </row>
    <row r="247" spans="1:16" ht="18" customHeight="1" x14ac:dyDescent="0.3">
      <c r="A247" s="3" t="s">
        <v>38</v>
      </c>
      <c r="B247" s="3" t="s">
        <v>37</v>
      </c>
      <c r="C247" s="1" t="s">
        <v>36</v>
      </c>
      <c r="D247" s="3">
        <v>30</v>
      </c>
      <c r="E247" s="1" t="s">
        <v>13</v>
      </c>
      <c r="F247" s="1" t="s">
        <v>35</v>
      </c>
      <c r="G247" s="1" t="s">
        <v>34</v>
      </c>
      <c r="H247" s="2">
        <v>254699.67</v>
      </c>
      <c r="I247" s="2">
        <v>0</v>
      </c>
      <c r="J247" s="4">
        <v>44622</v>
      </c>
      <c r="K247" s="3"/>
      <c r="L247" s="1" t="s">
        <v>2</v>
      </c>
      <c r="M247" s="1" t="s">
        <v>33</v>
      </c>
      <c r="N247" s="2">
        <v>10532.82</v>
      </c>
      <c r="O247" s="2">
        <v>17408.66</v>
      </c>
      <c r="P247" s="1" t="s">
        <v>32</v>
      </c>
    </row>
    <row r="248" spans="1:16" ht="18" customHeight="1" x14ac:dyDescent="0.3">
      <c r="A248" s="7" t="s">
        <v>31</v>
      </c>
      <c r="B248" s="7" t="s">
        <v>30</v>
      </c>
      <c r="C248" s="5" t="s">
        <v>29</v>
      </c>
      <c r="D248" s="7">
        <v>58</v>
      </c>
      <c r="E248" s="5" t="s">
        <v>5</v>
      </c>
      <c r="F248" s="5" t="s">
        <v>28</v>
      </c>
      <c r="G248" s="5" t="s">
        <v>27</v>
      </c>
      <c r="H248" s="6">
        <v>388616.56</v>
      </c>
      <c r="I248" s="6">
        <v>0</v>
      </c>
      <c r="J248" s="8">
        <v>45191</v>
      </c>
      <c r="K248" s="7"/>
      <c r="L248" s="5" t="s">
        <v>26</v>
      </c>
      <c r="M248" s="5" t="s">
        <v>25</v>
      </c>
      <c r="N248" s="6">
        <v>2024.77</v>
      </c>
      <c r="O248" s="6">
        <v>47016.55</v>
      </c>
      <c r="P248" s="5" t="s">
        <v>0</v>
      </c>
    </row>
    <row r="249" spans="1:16" ht="18" customHeight="1" x14ac:dyDescent="0.3">
      <c r="A249" s="3" t="s">
        <v>24</v>
      </c>
      <c r="B249" s="3" t="s">
        <v>23</v>
      </c>
      <c r="C249" s="1" t="s">
        <v>22</v>
      </c>
      <c r="D249" s="3">
        <v>59</v>
      </c>
      <c r="E249" s="1" t="s">
        <v>21</v>
      </c>
      <c r="F249" s="1" t="s">
        <v>20</v>
      </c>
      <c r="G249" s="1" t="s">
        <v>19</v>
      </c>
      <c r="H249" s="2">
        <v>72345.72</v>
      </c>
      <c r="I249" s="2">
        <v>44057.54</v>
      </c>
      <c r="J249" s="4">
        <v>44615</v>
      </c>
      <c r="K249" s="4">
        <v>44695</v>
      </c>
      <c r="L249" s="1" t="s">
        <v>18</v>
      </c>
      <c r="M249" s="1" t="s">
        <v>17</v>
      </c>
      <c r="N249" s="2">
        <v>17430.849999999999</v>
      </c>
      <c r="O249" s="2">
        <v>11831.73</v>
      </c>
      <c r="P249" s="1" t="s">
        <v>0</v>
      </c>
    </row>
    <row r="250" spans="1:16" ht="18" customHeight="1" x14ac:dyDescent="0.3">
      <c r="A250" s="7" t="s">
        <v>16</v>
      </c>
      <c r="B250" s="7" t="s">
        <v>15</v>
      </c>
      <c r="C250" s="5" t="s">
        <v>14</v>
      </c>
      <c r="D250" s="7">
        <v>70</v>
      </c>
      <c r="E250" s="5" t="s">
        <v>13</v>
      </c>
      <c r="F250" s="5" t="s">
        <v>12</v>
      </c>
      <c r="G250" s="5" t="s">
        <v>11</v>
      </c>
      <c r="H250" s="6">
        <v>259084.37</v>
      </c>
      <c r="I250" s="6">
        <v>0</v>
      </c>
      <c r="J250" s="8">
        <v>45045</v>
      </c>
      <c r="K250" s="7"/>
      <c r="L250" s="5" t="s">
        <v>10</v>
      </c>
      <c r="M250" s="5" t="s">
        <v>9</v>
      </c>
      <c r="N250" s="6">
        <v>6293.37</v>
      </c>
      <c r="O250" s="6">
        <v>50779.25</v>
      </c>
      <c r="P250" s="5" t="s">
        <v>0</v>
      </c>
    </row>
    <row r="251" spans="1:16" ht="18" customHeight="1" x14ac:dyDescent="0.3">
      <c r="A251" s="3" t="s">
        <v>8</v>
      </c>
      <c r="B251" s="3" t="s">
        <v>7</v>
      </c>
      <c r="C251" s="1" t="s">
        <v>6</v>
      </c>
      <c r="D251" s="3">
        <v>51</v>
      </c>
      <c r="E251" s="1" t="s">
        <v>5</v>
      </c>
      <c r="F251" s="1" t="s">
        <v>4</v>
      </c>
      <c r="G251" s="1" t="s">
        <v>3</v>
      </c>
      <c r="H251" s="2">
        <v>198989.12</v>
      </c>
      <c r="I251" s="2">
        <v>0</v>
      </c>
      <c r="J251" s="4">
        <v>44602</v>
      </c>
      <c r="K251" s="3"/>
      <c r="L251" s="1" t="s">
        <v>2</v>
      </c>
      <c r="M251" s="1" t="s">
        <v>1</v>
      </c>
      <c r="N251" s="2">
        <v>7380.06</v>
      </c>
      <c r="O251" s="2">
        <v>18103.52</v>
      </c>
      <c r="P251" s="1" t="s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4D4DD-D064-43A0-B166-91BFE6C110F9}">
  <dimension ref="A1:E87"/>
  <sheetViews>
    <sheetView workbookViewId="0">
      <pane xSplit="2" ySplit="3" topLeftCell="C62" activePane="bottomRight" state="frozen"/>
      <selection pane="topRight"/>
      <selection pane="bottomLeft"/>
      <selection pane="bottomRight" sqref="A1:E1"/>
    </sheetView>
  </sheetViews>
  <sheetFormatPr defaultRowHeight="14.4" x14ac:dyDescent="0.3"/>
  <cols>
    <col min="1" max="1" width="5" customWidth="1"/>
    <col min="2" max="2" width="12" customWidth="1"/>
    <col min="3" max="3" width="55" customWidth="1"/>
    <col min="4" max="4" width="35" customWidth="1"/>
    <col min="5" max="5" width="30" customWidth="1"/>
  </cols>
  <sheetData>
    <row r="1" spans="1:5" ht="31.95" customHeight="1" x14ac:dyDescent="0.3">
      <c r="A1" s="34" t="s">
        <v>687</v>
      </c>
      <c r="B1" s="15"/>
      <c r="C1" s="15"/>
      <c r="D1" s="15"/>
      <c r="E1" s="15"/>
    </row>
    <row r="2" spans="1:5" ht="16.05" customHeight="1" x14ac:dyDescent="0.3">
      <c r="A2" s="33" t="s">
        <v>686</v>
      </c>
      <c r="B2" s="15"/>
      <c r="C2" s="15"/>
      <c r="D2" s="15"/>
      <c r="E2" s="15"/>
    </row>
    <row r="3" spans="1:5" ht="22.05" customHeight="1" x14ac:dyDescent="0.3">
      <c r="A3" s="32" t="s">
        <v>685</v>
      </c>
      <c r="B3" s="32" t="s">
        <v>684</v>
      </c>
      <c r="C3" s="32" t="s">
        <v>683</v>
      </c>
      <c r="D3" s="32" t="s">
        <v>682</v>
      </c>
      <c r="E3" s="32" t="s">
        <v>681</v>
      </c>
    </row>
    <row r="4" spans="1:5" ht="22.05" customHeight="1" x14ac:dyDescent="0.3">
      <c r="A4" s="31" t="s">
        <v>680</v>
      </c>
      <c r="B4" s="15"/>
      <c r="C4" s="15"/>
      <c r="D4" s="15"/>
      <c r="E4" s="15"/>
    </row>
    <row r="5" spans="1:5" ht="36" customHeight="1" x14ac:dyDescent="0.3">
      <c r="A5" s="30">
        <v>1</v>
      </c>
      <c r="B5" s="29" t="s">
        <v>660</v>
      </c>
      <c r="C5" s="28" t="s">
        <v>679</v>
      </c>
      <c r="D5" s="27">
        <f>COUNTA(A2:A251)</f>
        <v>86</v>
      </c>
      <c r="E5" s="10"/>
    </row>
    <row r="6" spans="1:5" ht="36" customHeight="1" x14ac:dyDescent="0.3">
      <c r="A6" s="30">
        <v>2</v>
      </c>
      <c r="B6" s="29" t="s">
        <v>660</v>
      </c>
      <c r="C6" s="28" t="s">
        <v>678</v>
      </c>
      <c r="D6" s="27">
        <f>SUM(H2:H251)</f>
        <v>0</v>
      </c>
      <c r="E6" s="10"/>
    </row>
    <row r="7" spans="1:5" ht="36" customHeight="1" x14ac:dyDescent="0.3">
      <c r="A7" s="30">
        <v>3</v>
      </c>
      <c r="B7" s="29" t="s">
        <v>660</v>
      </c>
      <c r="C7" s="28" t="s">
        <v>677</v>
      </c>
      <c r="D7" s="27">
        <f>SUM(I2:I251)</f>
        <v>0</v>
      </c>
      <c r="E7" s="10"/>
    </row>
    <row r="8" spans="1:5" ht="36" customHeight="1" x14ac:dyDescent="0.3">
      <c r="A8" s="30">
        <v>4</v>
      </c>
      <c r="B8" s="29" t="s">
        <v>660</v>
      </c>
      <c r="C8" s="28" t="s">
        <v>676</v>
      </c>
      <c r="D8" s="27">
        <f>MAX(H2:H251)</f>
        <v>0</v>
      </c>
      <c r="E8" s="10"/>
    </row>
    <row r="9" spans="1:5" ht="36" customHeight="1" x14ac:dyDescent="0.3">
      <c r="A9" s="30">
        <v>5</v>
      </c>
      <c r="B9" s="29" t="s">
        <v>660</v>
      </c>
      <c r="C9" s="28" t="s">
        <v>675</v>
      </c>
      <c r="D9" s="27">
        <f>MIN(N2:N251)</f>
        <v>0</v>
      </c>
      <c r="E9" s="10"/>
    </row>
    <row r="10" spans="1:5" ht="36" customHeight="1" x14ac:dyDescent="0.3">
      <c r="A10" s="30">
        <v>6</v>
      </c>
      <c r="B10" s="29" t="s">
        <v>660</v>
      </c>
      <c r="C10" s="28" t="s">
        <v>674</v>
      </c>
      <c r="D10" s="27">
        <f>COUNTIF(L2:L251,"Approved")</f>
        <v>0</v>
      </c>
      <c r="E10" s="10"/>
    </row>
    <row r="11" spans="1:5" ht="36" customHeight="1" x14ac:dyDescent="0.3">
      <c r="A11" s="30">
        <v>7</v>
      </c>
      <c r="B11" s="29" t="s">
        <v>660</v>
      </c>
      <c r="C11" s="28" t="s">
        <v>673</v>
      </c>
      <c r="D11" s="27">
        <f>COUNTIF(L2:L251,"Rejected")</f>
        <v>0</v>
      </c>
      <c r="E11" s="10"/>
    </row>
    <row r="12" spans="1:5" ht="36" customHeight="1" x14ac:dyDescent="0.3">
      <c r="A12" s="30">
        <v>8</v>
      </c>
      <c r="B12" s="29" t="s">
        <v>660</v>
      </c>
      <c r="C12" s="28" t="s">
        <v>672</v>
      </c>
      <c r="D12" s="27">
        <f>SUMIF(G2:G251,"Health",H2:H251)</f>
        <v>0</v>
      </c>
      <c r="E12" s="10"/>
    </row>
    <row r="13" spans="1:5" ht="36" customHeight="1" x14ac:dyDescent="0.3">
      <c r="A13" s="30">
        <v>9</v>
      </c>
      <c r="B13" s="29" t="s">
        <v>660</v>
      </c>
      <c r="C13" s="28" t="s">
        <v>671</v>
      </c>
      <c r="D13" s="27">
        <f>COUNTIF(P2:P251,"Yes")</f>
        <v>0</v>
      </c>
      <c r="E13" s="10"/>
    </row>
    <row r="14" spans="1:5" ht="36" customHeight="1" x14ac:dyDescent="0.3">
      <c r="A14" s="30">
        <v>10</v>
      </c>
      <c r="B14" s="29" t="s">
        <v>660</v>
      </c>
      <c r="C14" s="28" t="s">
        <v>670</v>
      </c>
      <c r="D14" s="27" t="e">
        <f>AVERAGE(H2:H251)</f>
        <v>#DIV/0!</v>
      </c>
      <c r="E14" s="10"/>
    </row>
    <row r="15" spans="1:5" ht="36" customHeight="1" x14ac:dyDescent="0.3">
      <c r="A15" s="30">
        <v>11</v>
      </c>
      <c r="B15" s="29" t="s">
        <v>660</v>
      </c>
      <c r="C15" s="28" t="s">
        <v>669</v>
      </c>
      <c r="D15" s="27">
        <f>COUNTIF(E2:E251,"Male")</f>
        <v>0</v>
      </c>
      <c r="E15" s="10"/>
    </row>
    <row r="16" spans="1:5" ht="36" customHeight="1" x14ac:dyDescent="0.3">
      <c r="A16" s="30">
        <v>12</v>
      </c>
      <c r="B16" s="29" t="s">
        <v>660</v>
      </c>
      <c r="C16" s="28" t="s">
        <v>668</v>
      </c>
      <c r="D16" s="27">
        <f>SUMIF(G2:G251,"Term Life",N2:N251)</f>
        <v>0</v>
      </c>
      <c r="E16" s="10"/>
    </row>
    <row r="17" spans="1:5" ht="36" customHeight="1" x14ac:dyDescent="0.3">
      <c r="A17" s="30">
        <v>13</v>
      </c>
      <c r="B17" s="29" t="s">
        <v>660</v>
      </c>
      <c r="C17" s="28" t="s">
        <v>667</v>
      </c>
      <c r="D17" s="27" t="e">
        <f>MAX(D2:D251)</f>
        <v>#DIV/0!</v>
      </c>
      <c r="E17" s="10"/>
    </row>
    <row r="18" spans="1:5" ht="36" customHeight="1" x14ac:dyDescent="0.3">
      <c r="A18" s="30">
        <v>14</v>
      </c>
      <c r="B18" s="29" t="s">
        <v>660</v>
      </c>
      <c r="C18" s="28" t="s">
        <v>666</v>
      </c>
      <c r="D18" s="27">
        <f>COUNTA(M2:M251)</f>
        <v>0</v>
      </c>
      <c r="E18" s="10"/>
    </row>
    <row r="19" spans="1:5" ht="36" customHeight="1" x14ac:dyDescent="0.3">
      <c r="A19" s="30">
        <v>15</v>
      </c>
      <c r="B19" s="29" t="s">
        <v>660</v>
      </c>
      <c r="C19" s="28" t="s">
        <v>665</v>
      </c>
      <c r="D19" s="27" t="e">
        <f>AVERAGE(N2:N251)</f>
        <v>#DIV/0!</v>
      </c>
      <c r="E19" s="10"/>
    </row>
    <row r="20" spans="1:5" ht="36" customHeight="1" x14ac:dyDescent="0.3">
      <c r="A20" s="30">
        <v>16</v>
      </c>
      <c r="B20" s="29" t="s">
        <v>660</v>
      </c>
      <c r="C20" s="28" t="s">
        <v>664</v>
      </c>
      <c r="D20" s="27" t="str">
        <f>UPPER(G2)</f>
        <v/>
      </c>
      <c r="E20" s="10"/>
    </row>
    <row r="21" spans="1:5" ht="36" customHeight="1" x14ac:dyDescent="0.3">
      <c r="A21" s="30">
        <v>17</v>
      </c>
      <c r="B21" s="29" t="s">
        <v>660</v>
      </c>
      <c r="C21" s="28" t="s">
        <v>663</v>
      </c>
      <c r="D21" s="27">
        <f>LEN(C2)</f>
        <v>0</v>
      </c>
      <c r="E21" s="10"/>
    </row>
    <row r="22" spans="1:5" ht="36" customHeight="1" x14ac:dyDescent="0.3">
      <c r="A22" s="30">
        <v>18</v>
      </c>
      <c r="B22" s="29" t="s">
        <v>660</v>
      </c>
      <c r="C22" s="28" t="s">
        <v>662</v>
      </c>
      <c r="D22" s="27" t="str">
        <f>LEFT(A2,3)</f>
        <v>🟢 B</v>
      </c>
      <c r="E22" s="10"/>
    </row>
    <row r="23" spans="1:5" ht="36" customHeight="1" x14ac:dyDescent="0.3">
      <c r="A23" s="30">
        <v>19</v>
      </c>
      <c r="B23" s="29" t="s">
        <v>660</v>
      </c>
      <c r="C23" s="28" t="s">
        <v>661</v>
      </c>
      <c r="D23" s="27">
        <f ca="1">TODAY()</f>
        <v>46211</v>
      </c>
      <c r="E23" s="10"/>
    </row>
    <row r="24" spans="1:5" ht="36" customHeight="1" x14ac:dyDescent="0.3">
      <c r="A24" s="30">
        <v>20</v>
      </c>
      <c r="B24" s="29" t="s">
        <v>660</v>
      </c>
      <c r="C24" s="28" t="s">
        <v>659</v>
      </c>
      <c r="D24" s="27">
        <f>COUNTIF(F2:F251,"Mumbai")</f>
        <v>0</v>
      </c>
      <c r="E24" s="10"/>
    </row>
    <row r="25" spans="1:5" ht="22.05" customHeight="1" x14ac:dyDescent="0.3">
      <c r="A25" s="26" t="s">
        <v>658</v>
      </c>
      <c r="B25" s="15"/>
      <c r="C25" s="15"/>
      <c r="D25" s="15"/>
      <c r="E25" s="15"/>
    </row>
    <row r="26" spans="1:5" ht="36" customHeight="1" x14ac:dyDescent="0.3">
      <c r="A26" s="25">
        <v>21</v>
      </c>
      <c r="B26" s="24" t="s">
        <v>635</v>
      </c>
      <c r="C26" s="23" t="s">
        <v>657</v>
      </c>
      <c r="D26" s="22">
        <f ca="1">SUMIFS(I2:I251,L2:L251,"Approved",G2:G251,"Motor")</f>
        <v>0</v>
      </c>
      <c r="E26" s="10"/>
    </row>
    <row r="27" spans="1:5" ht="36" customHeight="1" x14ac:dyDescent="0.3">
      <c r="A27" s="25">
        <v>22</v>
      </c>
      <c r="B27" s="24" t="s">
        <v>635</v>
      </c>
      <c r="C27" s="23" t="s">
        <v>656</v>
      </c>
      <c r="D27" s="22">
        <f>COUNTIFS(H2:H251,"&gt;100000",L2:L251,"Approved")</f>
        <v>0</v>
      </c>
      <c r="E27" s="10"/>
    </row>
    <row r="28" spans="1:5" ht="36" customHeight="1" x14ac:dyDescent="0.3">
      <c r="A28" s="25">
        <v>23</v>
      </c>
      <c r="B28" s="24" t="s">
        <v>635</v>
      </c>
      <c r="C28" s="23" t="s">
        <v>655</v>
      </c>
      <c r="D28" s="22" t="e">
        <f>VLOOKUP("CLM5050",A2:M251,13,0)</f>
        <v>#N/A</v>
      </c>
      <c r="E28" s="10"/>
    </row>
    <row r="29" spans="1:5" ht="36" customHeight="1" x14ac:dyDescent="0.3">
      <c r="A29" s="25">
        <v>24</v>
      </c>
      <c r="B29" s="24" t="s">
        <v>635</v>
      </c>
      <c r="C29" s="23" t="s">
        <v>654</v>
      </c>
      <c r="D29" s="22" t="e">
        <f ca="1">_xludf.XLOOKUP("CLM5100",A2:A251,G2:G251,"Not Found")</f>
        <v>#NAME?</v>
      </c>
      <c r="E29" s="10"/>
    </row>
    <row r="30" spans="1:5" ht="36" customHeight="1" x14ac:dyDescent="0.3">
      <c r="A30" s="25">
        <v>25</v>
      </c>
      <c r="B30" s="24" t="s">
        <v>635</v>
      </c>
      <c r="C30" s="23" t="s">
        <v>653</v>
      </c>
      <c r="D30" s="22" t="e">
        <f>IF(L2="Approved",I2,0)  drag down</f>
        <v>#VALUE!</v>
      </c>
      <c r="E30" s="10"/>
    </row>
    <row r="31" spans="1:5" ht="36" customHeight="1" x14ac:dyDescent="0.3">
      <c r="A31" s="25">
        <v>26</v>
      </c>
      <c r="B31" s="24" t="s">
        <v>635</v>
      </c>
      <c r="C31" s="23" t="s">
        <v>652</v>
      </c>
      <c r="D31" s="22" t="e">
        <f>AVERAGEIF(L2:L251,"Pending",H2:H251)</f>
        <v>#DIV/0!</v>
      </c>
      <c r="E31" s="10"/>
    </row>
    <row r="32" spans="1:5" ht="36" customHeight="1" x14ac:dyDescent="0.3">
      <c r="A32" s="25">
        <v>27</v>
      </c>
      <c r="B32" s="24" t="s">
        <v>635</v>
      </c>
      <c r="C32" s="23" t="s">
        <v>651</v>
      </c>
      <c r="D32" s="22" t="e">
        <f>IF(K2&lt;&gt;"",DATEDIF(J2,K2,"d"),"Not settled")  drag down</f>
        <v>#VALUE!</v>
      </c>
      <c r="E32" s="10"/>
    </row>
    <row r="33" spans="1:5" ht="36" customHeight="1" x14ac:dyDescent="0.3">
      <c r="A33" s="25">
        <v>28</v>
      </c>
      <c r="B33" s="24" t="s">
        <v>635</v>
      </c>
      <c r="C33" s="23" t="s">
        <v>650</v>
      </c>
      <c r="D33" s="22" t="s">
        <v>649</v>
      </c>
      <c r="E33" s="10"/>
    </row>
    <row r="34" spans="1:5" ht="36" customHeight="1" x14ac:dyDescent="0.3">
      <c r="A34" s="25">
        <v>29</v>
      </c>
      <c r="B34" s="24" t="s">
        <v>635</v>
      </c>
      <c r="C34" s="23" t="s">
        <v>648</v>
      </c>
      <c r="D34" s="22" t="s">
        <v>647</v>
      </c>
      <c r="E34" s="10"/>
    </row>
    <row r="35" spans="1:5" ht="36" customHeight="1" x14ac:dyDescent="0.3">
      <c r="A35" s="25">
        <v>30</v>
      </c>
      <c r="B35" s="24" t="s">
        <v>635</v>
      </c>
      <c r="C35" s="23" t="s">
        <v>646</v>
      </c>
      <c r="D35" s="22">
        <f>SUMIF(E2:E251,"Female",O2:O251)</f>
        <v>0</v>
      </c>
      <c r="E35" s="10"/>
    </row>
    <row r="36" spans="1:5" ht="36" customHeight="1" x14ac:dyDescent="0.3">
      <c r="A36" s="25">
        <v>31</v>
      </c>
      <c r="B36" s="24" t="s">
        <v>635</v>
      </c>
      <c r="C36" s="23" t="s">
        <v>645</v>
      </c>
      <c r="D36" s="22" t="str">
        <f>IFERROR(VLOOKUP("CLM0001",A2:M251,2,0),"Claim Not Found")</f>
        <v>Claim Not Found</v>
      </c>
      <c r="E36" s="10"/>
    </row>
    <row r="37" spans="1:5" ht="36" customHeight="1" x14ac:dyDescent="0.3">
      <c r="A37" s="25">
        <v>32</v>
      </c>
      <c r="B37" s="24" t="s">
        <v>635</v>
      </c>
      <c r="C37" s="23" t="s">
        <v>644</v>
      </c>
      <c r="D37" s="22"/>
      <c r="E37" s="10"/>
    </row>
    <row r="38" spans="1:5" ht="36" customHeight="1" x14ac:dyDescent="0.3">
      <c r="A38" s="25">
        <v>33</v>
      </c>
      <c r="B38" s="24" t="s">
        <v>635</v>
      </c>
      <c r="C38" s="23" t="s">
        <v>643</v>
      </c>
      <c r="D38" s="22"/>
      <c r="E38" s="10"/>
    </row>
    <row r="39" spans="1:5" ht="36" customHeight="1" x14ac:dyDescent="0.3">
      <c r="A39" s="25">
        <v>34</v>
      </c>
      <c r="B39" s="24" t="s">
        <v>635</v>
      </c>
      <c r="C39" s="23" t="s">
        <v>642</v>
      </c>
      <c r="D39" s="22">
        <f>COUNTIFS(E2:E251,"Female",F2:F251,"Delhi")</f>
        <v>0</v>
      </c>
      <c r="E39" s="10"/>
    </row>
    <row r="40" spans="1:5" ht="36" customHeight="1" x14ac:dyDescent="0.3">
      <c r="A40" s="25">
        <v>35</v>
      </c>
      <c r="B40" s="24" t="s">
        <v>635</v>
      </c>
      <c r="C40" s="23" t="s">
        <v>641</v>
      </c>
      <c r="D40" s="22" t="s">
        <v>640</v>
      </c>
      <c r="E40" s="10"/>
    </row>
    <row r="41" spans="1:5" ht="36" customHeight="1" x14ac:dyDescent="0.3">
      <c r="A41" s="25">
        <v>36</v>
      </c>
      <c r="B41" s="24" t="s">
        <v>635</v>
      </c>
      <c r="C41" s="23" t="s">
        <v>639</v>
      </c>
      <c r="D41" s="22" t="str">
        <f>TEXT(J2,"DD-MMM-YYYY")</f>
        <v>00-Jan-1900</v>
      </c>
      <c r="E41" s="10"/>
    </row>
    <row r="42" spans="1:5" ht="36" customHeight="1" x14ac:dyDescent="0.3">
      <c r="A42" s="25">
        <v>37</v>
      </c>
      <c r="B42" s="24" t="s">
        <v>635</v>
      </c>
      <c r="C42" s="23" t="s">
        <v>638</v>
      </c>
      <c r="D42" s="22">
        <f>SUMPRODUCT(H2:H251-O2:O251)</f>
        <v>0</v>
      </c>
      <c r="E42" s="10"/>
    </row>
    <row r="43" spans="1:5" ht="36" customHeight="1" x14ac:dyDescent="0.3">
      <c r="A43" s="25">
        <v>38</v>
      </c>
      <c r="B43" s="24" t="s">
        <v>635</v>
      </c>
      <c r="C43" s="23" t="s">
        <v>637</v>
      </c>
      <c r="D43" s="22" t="e">
        <f ca="1">AVERAGEIFS(N2:N251,L2:L251,"Approved",G2:G251,"Health")</f>
        <v>#DIV/0!</v>
      </c>
      <c r="E43" s="10"/>
    </row>
    <row r="44" spans="1:5" ht="36" customHeight="1" x14ac:dyDescent="0.3">
      <c r="A44" s="25">
        <v>39</v>
      </c>
      <c r="B44" s="24" t="s">
        <v>635</v>
      </c>
      <c r="C44" s="23" t="s">
        <v>636</v>
      </c>
      <c r="D44" s="22" t="e">
        <f>C2&amp;" | "&amp;L2  drag down</f>
        <v>#NAME?</v>
      </c>
      <c r="E44" s="10"/>
    </row>
    <row r="45" spans="1:5" ht="36" customHeight="1" x14ac:dyDescent="0.3">
      <c r="A45" s="25">
        <v>40</v>
      </c>
      <c r="B45" s="24" t="s">
        <v>635</v>
      </c>
      <c r="C45" s="23" t="s">
        <v>634</v>
      </c>
      <c r="D45" s="22" t="s">
        <v>633</v>
      </c>
      <c r="E45" s="10"/>
    </row>
    <row r="46" spans="1:5" ht="22.05" customHeight="1" x14ac:dyDescent="0.3">
      <c r="A46" s="21" t="s">
        <v>632</v>
      </c>
      <c r="B46" s="15"/>
      <c r="C46" s="15"/>
      <c r="D46" s="15"/>
      <c r="E46" s="15"/>
    </row>
    <row r="47" spans="1:5" ht="36" customHeight="1" x14ac:dyDescent="0.3">
      <c r="A47" s="20">
        <v>41</v>
      </c>
      <c r="B47" s="19" t="s">
        <v>601</v>
      </c>
      <c r="C47" s="18" t="s">
        <v>631</v>
      </c>
      <c r="D47" s="17" t="s">
        <v>630</v>
      </c>
      <c r="E47" s="10"/>
    </row>
    <row r="48" spans="1:5" ht="36" customHeight="1" x14ac:dyDescent="0.3">
      <c r="A48" s="20">
        <v>42</v>
      </c>
      <c r="B48" s="19" t="s">
        <v>601</v>
      </c>
      <c r="C48" s="18" t="s">
        <v>629</v>
      </c>
      <c r="D48" s="17" t="e">
        <f>INDEX(C2:C251,MATCH(MAX(H2:H251),H2:H251,0))</f>
        <v>#N/A</v>
      </c>
      <c r="E48" s="10"/>
    </row>
    <row r="49" spans="1:5" ht="36" customHeight="1" x14ac:dyDescent="0.3">
      <c r="A49" s="20">
        <v>43</v>
      </c>
      <c r="B49" s="19" t="s">
        <v>601</v>
      </c>
      <c r="C49" s="18" t="s">
        <v>628</v>
      </c>
      <c r="D49" s="17" t="e">
        <f>IF(H2&lt;10000,"Small",IF(H2&lt;100000,"Medium","Large"))  drag down</f>
        <v>#VALUE!</v>
      </c>
      <c r="E49" s="10"/>
    </row>
    <row r="50" spans="1:5" ht="36" customHeight="1" x14ac:dyDescent="0.3">
      <c r="A50" s="20">
        <v>44</v>
      </c>
      <c r="B50" s="19" t="s">
        <v>601</v>
      </c>
      <c r="C50" s="18" t="s">
        <v>627</v>
      </c>
      <c r="D50" s="17" t="s">
        <v>626</v>
      </c>
      <c r="E50" s="10"/>
    </row>
    <row r="51" spans="1:5" ht="36" customHeight="1" x14ac:dyDescent="0.3">
      <c r="A51" s="20">
        <v>45</v>
      </c>
      <c r="B51" s="19" t="s">
        <v>601</v>
      </c>
      <c r="C51" s="18" t="s">
        <v>625</v>
      </c>
      <c r="D51" s="17" t="e">
        <f>IF(L2="Approved",I2/H2,"")  drag down, format as %</f>
        <v>#VALUE!</v>
      </c>
      <c r="E51" s="10"/>
    </row>
    <row r="52" spans="1:5" ht="36" customHeight="1" x14ac:dyDescent="0.3">
      <c r="A52" s="20">
        <v>46</v>
      </c>
      <c r="B52" s="19" t="s">
        <v>601</v>
      </c>
      <c r="C52" s="18" t="s">
        <v>624</v>
      </c>
      <c r="D52" s="17" t="s">
        <v>623</v>
      </c>
      <c r="E52" s="10"/>
    </row>
    <row r="53" spans="1:5" ht="36" customHeight="1" x14ac:dyDescent="0.3">
      <c r="A53" s="20">
        <v>47</v>
      </c>
      <c r="B53" s="19" t="s">
        <v>601</v>
      </c>
      <c r="C53" s="18" t="s">
        <v>622</v>
      </c>
      <c r="D53" s="17" t="s">
        <v>621</v>
      </c>
      <c r="E53" s="10"/>
    </row>
    <row r="54" spans="1:5" ht="36" customHeight="1" x14ac:dyDescent="0.3">
      <c r="A54" s="20">
        <v>48</v>
      </c>
      <c r="B54" s="19" t="s">
        <v>601</v>
      </c>
      <c r="C54" s="18" t="s">
        <v>620</v>
      </c>
      <c r="D54" s="17" t="e">
        <f>H2-O2-I2  drag down</f>
        <v>#NAME?</v>
      </c>
      <c r="E54" s="10"/>
    </row>
    <row r="55" spans="1:5" ht="36" customHeight="1" x14ac:dyDescent="0.3">
      <c r="A55" s="20">
        <v>49</v>
      </c>
      <c r="B55" s="19" t="s">
        <v>601</v>
      </c>
      <c r="C55" s="18" t="s">
        <v>619</v>
      </c>
      <c r="D55" s="17">
        <f ca="1">SUMIFS(H2:H251,J2:J251,"&gt;="&amp;DATE(2023,1,1),J2:J251,"&lt;"&amp;DATE(2024,1,1))</f>
        <v>0</v>
      </c>
      <c r="E55" s="10"/>
    </row>
    <row r="56" spans="1:5" ht="36" customHeight="1" x14ac:dyDescent="0.3">
      <c r="A56" s="20">
        <v>50</v>
      </c>
      <c r="B56" s="19" t="s">
        <v>601</v>
      </c>
      <c r="C56" s="18" t="s">
        <v>618</v>
      </c>
      <c r="D56" s="17" t="s">
        <v>617</v>
      </c>
      <c r="E56" s="10"/>
    </row>
    <row r="57" spans="1:5" ht="36" customHeight="1" x14ac:dyDescent="0.3">
      <c r="A57" s="20">
        <v>51</v>
      </c>
      <c r="B57" s="19" t="s">
        <v>601</v>
      </c>
      <c r="C57" s="18" t="s">
        <v>616</v>
      </c>
      <c r="D57" s="17" t="s">
        <v>615</v>
      </c>
      <c r="E57" s="10"/>
    </row>
    <row r="58" spans="1:5" ht="36" customHeight="1" x14ac:dyDescent="0.3">
      <c r="A58" s="20">
        <v>52</v>
      </c>
      <c r="B58" s="19" t="s">
        <v>601</v>
      </c>
      <c r="C58" s="18" t="s">
        <v>614</v>
      </c>
      <c r="D58" s="17" t="s">
        <v>613</v>
      </c>
      <c r="E58" s="10"/>
    </row>
    <row r="59" spans="1:5" ht="36" customHeight="1" x14ac:dyDescent="0.3">
      <c r="A59" s="20">
        <v>53</v>
      </c>
      <c r="B59" s="19" t="s">
        <v>601</v>
      </c>
      <c r="C59" s="18" t="s">
        <v>612</v>
      </c>
      <c r="D59" s="17" t="s">
        <v>611</v>
      </c>
      <c r="E59" s="10"/>
    </row>
    <row r="60" spans="1:5" ht="36" customHeight="1" x14ac:dyDescent="0.3">
      <c r="A60" s="20">
        <v>54</v>
      </c>
      <c r="B60" s="19" t="s">
        <v>601</v>
      </c>
      <c r="C60" s="18" t="s">
        <v>610</v>
      </c>
      <c r="D60" s="17" t="s">
        <v>609</v>
      </c>
      <c r="E60" s="10"/>
    </row>
    <row r="61" spans="1:5" ht="36" customHeight="1" x14ac:dyDescent="0.3">
      <c r="A61" s="20">
        <v>55</v>
      </c>
      <c r="B61" s="19" t="s">
        <v>601</v>
      </c>
      <c r="C61" s="18" t="s">
        <v>608</v>
      </c>
      <c r="D61" s="17">
        <f>COUNTIFS(J2:J251,"&gt;="&amp;DATE(2023,1,1),J2:J251,"&lt;"&amp;DATE(2023,4,1))</f>
        <v>0</v>
      </c>
      <c r="E61" s="10"/>
    </row>
    <row r="62" spans="1:5" ht="36" customHeight="1" x14ac:dyDescent="0.3">
      <c r="A62" s="20">
        <v>56</v>
      </c>
      <c r="B62" s="19" t="s">
        <v>601</v>
      </c>
      <c r="C62" s="18" t="s">
        <v>607</v>
      </c>
      <c r="D62" s="17" t="s">
        <v>606</v>
      </c>
      <c r="E62" s="10"/>
    </row>
    <row r="63" spans="1:5" ht="36" customHeight="1" x14ac:dyDescent="0.3">
      <c r="A63" s="20">
        <v>57</v>
      </c>
      <c r="B63" s="19" t="s">
        <v>601</v>
      </c>
      <c r="C63" s="18" t="s">
        <v>605</v>
      </c>
      <c r="D63" s="17" t="s">
        <v>604</v>
      </c>
      <c r="E63" s="10"/>
    </row>
    <row r="64" spans="1:5" ht="36" customHeight="1" x14ac:dyDescent="0.3">
      <c r="A64" s="20">
        <v>58</v>
      </c>
      <c r="B64" s="19" t="s">
        <v>601</v>
      </c>
      <c r="C64" s="18" t="s">
        <v>603</v>
      </c>
      <c r="D64" s="17" t="e">
        <f ca="1">_xludf.MINIFS(N2:N251,G2:G251,"Health") — repeat for all types</f>
        <v>#NAME?</v>
      </c>
      <c r="E64" s="10"/>
    </row>
    <row r="65" spans="1:5" ht="36" customHeight="1" x14ac:dyDescent="0.3">
      <c r="A65" s="20">
        <v>59</v>
      </c>
      <c r="B65" s="19" t="s">
        <v>601</v>
      </c>
      <c r="C65" s="18" t="s">
        <v>602</v>
      </c>
      <c r="D65" s="17"/>
      <c r="E65" s="10"/>
    </row>
    <row r="66" spans="1:5" ht="36" customHeight="1" x14ac:dyDescent="0.3">
      <c r="A66" s="20">
        <v>60</v>
      </c>
      <c r="B66" s="19" t="s">
        <v>601</v>
      </c>
      <c r="C66" s="18" t="s">
        <v>600</v>
      </c>
      <c r="D66" s="17" t="e">
        <f>IF(K2&lt;&gt;"",NETWORKDAYS(J2,K2),"")  drag down</f>
        <v>#VALUE!</v>
      </c>
      <c r="E66" s="10"/>
    </row>
    <row r="67" spans="1:5" ht="22.05" customHeight="1" x14ac:dyDescent="0.3">
      <c r="A67" s="16" t="s">
        <v>599</v>
      </c>
      <c r="B67" s="15"/>
      <c r="C67" s="15"/>
      <c r="D67" s="15"/>
      <c r="E67" s="15"/>
    </row>
    <row r="68" spans="1:5" ht="36" customHeight="1" x14ac:dyDescent="0.3">
      <c r="A68" s="14">
        <v>61</v>
      </c>
      <c r="B68" s="13" t="s">
        <v>568</v>
      </c>
      <c r="C68" s="12" t="s">
        <v>598</v>
      </c>
      <c r="D68" s="11" t="s">
        <v>597</v>
      </c>
      <c r="E68" s="10"/>
    </row>
    <row r="69" spans="1:5" ht="36" customHeight="1" x14ac:dyDescent="0.3">
      <c r="A69" s="14">
        <v>62</v>
      </c>
      <c r="B69" s="13" t="s">
        <v>568</v>
      </c>
      <c r="C69" s="12" t="s">
        <v>596</v>
      </c>
      <c r="D69" s="11" t="e">
        <f>SUMPRODUCT(H2:H251,N2:N251)/SUM(N2:N251)</f>
        <v>#DIV/0!</v>
      </c>
      <c r="E69" s="10"/>
    </row>
    <row r="70" spans="1:5" ht="36" customHeight="1" x14ac:dyDescent="0.3">
      <c r="A70" s="14">
        <v>63</v>
      </c>
      <c r="B70" s="13" t="s">
        <v>568</v>
      </c>
      <c r="C70" s="12" t="s">
        <v>595</v>
      </c>
      <c r="D70" s="11" t="s">
        <v>594</v>
      </c>
      <c r="E70" s="10"/>
    </row>
    <row r="71" spans="1:5" ht="36" customHeight="1" x14ac:dyDescent="0.3">
      <c r="A71" s="14">
        <v>64</v>
      </c>
      <c r="B71" s="13" t="s">
        <v>568</v>
      </c>
      <c r="C71" s="12" t="s">
        <v>593</v>
      </c>
      <c r="D71" s="11" t="s">
        <v>592</v>
      </c>
      <c r="E71" s="10"/>
    </row>
    <row r="72" spans="1:5" ht="36" customHeight="1" x14ac:dyDescent="0.3">
      <c r="A72" s="14">
        <v>65</v>
      </c>
      <c r="B72" s="13" t="s">
        <v>568</v>
      </c>
      <c r="C72" s="12" t="s">
        <v>591</v>
      </c>
      <c r="D72" s="11" t="e">
        <f>SUMIFS(H2:H251,L2:L251,"Pending")+SUMIFS(H2:H251,L2:L251,"Under Review") / SUM(N2:N251)</f>
        <v>#DIV/0!</v>
      </c>
      <c r="E72" s="10"/>
    </row>
    <row r="73" spans="1:5" ht="36" customHeight="1" x14ac:dyDescent="0.3">
      <c r="A73" s="14">
        <v>66</v>
      </c>
      <c r="B73" s="13" t="s">
        <v>568</v>
      </c>
      <c r="C73" s="12" t="s">
        <v>590</v>
      </c>
      <c r="D73" s="11" t="s">
        <v>589</v>
      </c>
      <c r="E73" s="10"/>
    </row>
    <row r="74" spans="1:5" ht="36" customHeight="1" x14ac:dyDescent="0.3">
      <c r="A74" s="14">
        <v>67</v>
      </c>
      <c r="B74" s="13" t="s">
        <v>568</v>
      </c>
      <c r="C74" s="12" t="s">
        <v>588</v>
      </c>
      <c r="D74" s="11" t="e">
        <f ca="1">SUM(INDIRECT(CHOOSE(P1,"H2:H251","I2:I251","N2:N251")))</f>
        <v>#VALUE!</v>
      </c>
      <c r="E74" s="10"/>
    </row>
    <row r="75" spans="1:5" ht="36" customHeight="1" x14ac:dyDescent="0.3">
      <c r="A75" s="14">
        <v>68</v>
      </c>
      <c r="B75" s="13" t="s">
        <v>568</v>
      </c>
      <c r="C75" s="12" t="s">
        <v>587</v>
      </c>
      <c r="D75" s="11"/>
      <c r="E75" s="10"/>
    </row>
    <row r="76" spans="1:5" ht="36" customHeight="1" x14ac:dyDescent="0.3">
      <c r="A76" s="14">
        <v>69</v>
      </c>
      <c r="B76" s="13" t="s">
        <v>568</v>
      </c>
      <c r="C76" s="12" t="s">
        <v>586</v>
      </c>
      <c r="D76" s="11"/>
      <c r="E76" s="10"/>
    </row>
    <row r="77" spans="1:5" ht="36" customHeight="1" x14ac:dyDescent="0.3">
      <c r="A77" s="14">
        <v>70</v>
      </c>
      <c r="B77" s="13" t="s">
        <v>568</v>
      </c>
      <c r="C77" s="12" t="s">
        <v>585</v>
      </c>
      <c r="D77" s="11" t="s">
        <v>584</v>
      </c>
      <c r="E77" s="10"/>
    </row>
    <row r="78" spans="1:5" ht="36" customHeight="1" x14ac:dyDescent="0.3">
      <c r="A78" s="14">
        <v>71</v>
      </c>
      <c r="B78" s="13" t="s">
        <v>568</v>
      </c>
      <c r="C78" s="12" t="s">
        <v>583</v>
      </c>
      <c r="D78" s="11" t="s">
        <v>582</v>
      </c>
      <c r="E78" s="10"/>
    </row>
    <row r="79" spans="1:5" ht="36" customHeight="1" x14ac:dyDescent="0.3">
      <c r="A79" s="14">
        <v>72</v>
      </c>
      <c r="B79" s="13" t="s">
        <v>568</v>
      </c>
      <c r="C79" s="12" t="s">
        <v>581</v>
      </c>
      <c r="D79" s="11" t="s">
        <v>580</v>
      </c>
      <c r="E79" s="10"/>
    </row>
    <row r="80" spans="1:5" ht="36" customHeight="1" x14ac:dyDescent="0.3">
      <c r="A80" s="14">
        <v>73</v>
      </c>
      <c r="B80" s="13" t="s">
        <v>568</v>
      </c>
      <c r="C80" s="12" t="s">
        <v>579</v>
      </c>
      <c r="D80" s="11">
        <f>SUMIFS(H2:H251,L2:L251,"Pending")*0.8</f>
        <v>0</v>
      </c>
      <c r="E80" s="10"/>
    </row>
    <row r="81" spans="1:5" ht="36" customHeight="1" x14ac:dyDescent="0.3">
      <c r="A81" s="14">
        <v>74</v>
      </c>
      <c r="B81" s="13" t="s">
        <v>568</v>
      </c>
      <c r="C81" s="12" t="s">
        <v>578</v>
      </c>
      <c r="D81" s="11" t="s">
        <v>577</v>
      </c>
      <c r="E81" s="10"/>
    </row>
    <row r="82" spans="1:5" ht="36" customHeight="1" x14ac:dyDescent="0.3">
      <c r="A82" s="14">
        <v>75</v>
      </c>
      <c r="B82" s="13" t="s">
        <v>568</v>
      </c>
      <c r="C82" s="12" t="s">
        <v>576</v>
      </c>
      <c r="D82" s="11" t="s">
        <v>575</v>
      </c>
      <c r="E82" s="10"/>
    </row>
    <row r="83" spans="1:5" ht="36" customHeight="1" x14ac:dyDescent="0.3">
      <c r="A83" s="14">
        <v>76</v>
      </c>
      <c r="B83" s="13" t="s">
        <v>568</v>
      </c>
      <c r="C83" s="12" t="s">
        <v>574</v>
      </c>
      <c r="D83" s="11" t="str">
        <f ca="1">IFERROR(_xludf.XLOOKUP(P1,A2:A251,K2:K251,"Pending"),"Pending")</f>
        <v>Pending</v>
      </c>
      <c r="E83" s="10"/>
    </row>
    <row r="84" spans="1:5" ht="36" customHeight="1" x14ac:dyDescent="0.3">
      <c r="A84" s="14">
        <v>77</v>
      </c>
      <c r="B84" s="13" t="s">
        <v>568</v>
      </c>
      <c r="C84" s="12" t="s">
        <v>573</v>
      </c>
      <c r="D84" s="11" t="e">
        <f>IF(H2&gt;2*AVERAGE(H$2:H$251),"Outlier","Normal")  drag down</f>
        <v>#DIV/0!</v>
      </c>
      <c r="E84" s="10"/>
    </row>
    <row r="85" spans="1:5" ht="36" customHeight="1" x14ac:dyDescent="0.3">
      <c r="A85" s="14">
        <v>78</v>
      </c>
      <c r="B85" s="13" t="s">
        <v>568</v>
      </c>
      <c r="C85" s="12" t="s">
        <v>572</v>
      </c>
      <c r="D85" s="11" t="s">
        <v>571</v>
      </c>
      <c r="E85" s="10"/>
    </row>
    <row r="86" spans="1:5" ht="36" customHeight="1" x14ac:dyDescent="0.3">
      <c r="A86" s="14">
        <v>79</v>
      </c>
      <c r="B86" s="13" t="s">
        <v>568</v>
      </c>
      <c r="C86" s="12" t="s">
        <v>570</v>
      </c>
      <c r="D86" s="11" t="s">
        <v>569</v>
      </c>
      <c r="E86" s="10"/>
    </row>
    <row r="87" spans="1:5" ht="36" customHeight="1" x14ac:dyDescent="0.3">
      <c r="A87" s="14">
        <v>80</v>
      </c>
      <c r="B87" s="13" t="s">
        <v>568</v>
      </c>
      <c r="C87" s="12" t="s">
        <v>567</v>
      </c>
      <c r="D87" s="11" t="s">
        <v>566</v>
      </c>
      <c r="E87" s="10"/>
    </row>
  </sheetData>
  <mergeCells count="6">
    <mergeCell ref="A67:E67"/>
    <mergeCell ref="A4:E4"/>
    <mergeCell ref="A2:E2"/>
    <mergeCell ref="A25:E25"/>
    <mergeCell ref="A1:E1"/>
    <mergeCell ref="A46:E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DB3_InsuranceClaims</vt:lpstr>
      <vt:lpstr>Q3_InsuranceClaims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SUNNY SINGH</dc:creator>
  <cp:lastModifiedBy>SUNNY SINGH</cp:lastModifiedBy>
  <dcterms:created xsi:type="dcterms:W3CDTF">2026-07-08T01:49:45Z</dcterms:created>
  <dcterms:modified xsi:type="dcterms:W3CDTF">2026-07-08T01:51:47Z</dcterms:modified>
</cp:coreProperties>
</file>